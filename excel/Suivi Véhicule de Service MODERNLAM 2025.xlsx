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AFC69F68-B37B-462E-9D3F-BB973B41745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9" i="1" l="1"/>
  <c r="E38" i="1"/>
  <c r="E37" i="1"/>
  <c r="F35" i="1"/>
  <c r="E34" i="1"/>
  <c r="F31" i="1"/>
  <c r="E30" i="1"/>
  <c r="E18" i="1"/>
  <c r="E11" i="1"/>
  <c r="E8" i="1"/>
  <c r="E6" i="1"/>
  <c r="E5" i="1"/>
  <c r="B52" i="1"/>
  <c r="E52" i="1" l="1"/>
  <c r="E54" i="1"/>
  <c r="F54" i="1" l="1"/>
  <c r="F52" i="1"/>
</calcChain>
</file>

<file path=xl/sharedStrings.xml><?xml version="1.0" encoding="utf-8"?>
<sst xmlns="http://schemas.openxmlformats.org/spreadsheetml/2006/main" count="124" uniqueCount="30">
  <si>
    <t>DATE</t>
  </si>
  <si>
    <t>MONTANT</t>
  </si>
  <si>
    <t>DETAILS</t>
  </si>
  <si>
    <t>KILOMETRAGE</t>
  </si>
  <si>
    <t>Total</t>
  </si>
  <si>
    <t>Moyenne KM/Plein</t>
  </si>
  <si>
    <t>GPL / KILOMETRE EN +</t>
  </si>
  <si>
    <t>ESSENCE / KILOMETRE EN +</t>
  </si>
  <si>
    <t>ETAT DU VÉHICULE DE SERVICE (SYMBOL)</t>
  </si>
  <si>
    <t>GPL</t>
  </si>
  <si>
    <t>-</t>
  </si>
  <si>
    <t>Bidon Glaciol</t>
  </si>
  <si>
    <t>Timbre Carte Grise</t>
  </si>
  <si>
    <t>Réparation Roue</t>
  </si>
  <si>
    <t>Contrôle Technique</t>
  </si>
  <si>
    <t>Amortisseur</t>
  </si>
  <si>
    <t>Main d'Œuvre Montage Amortisseur</t>
  </si>
  <si>
    <t>Réparation Moteur Lave Glace</t>
  </si>
  <si>
    <t>Régulateur Alternateur</t>
  </si>
  <si>
    <t>Boutton Fermeture</t>
  </si>
  <si>
    <t>Essence</t>
  </si>
  <si>
    <t>Support Clignoteur + Montage</t>
  </si>
  <si>
    <t>Vidange</t>
  </si>
  <si>
    <t>Lamps</t>
  </si>
  <si>
    <t>Réparation Radiateur</t>
  </si>
  <si>
    <t>Glaciol</t>
  </si>
  <si>
    <t>Pile Commande</t>
  </si>
  <si>
    <t>Manou + Main d'Œuvre</t>
  </si>
  <si>
    <t>Relais  + Fusible</t>
  </si>
  <si>
    <t>Montage Roue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</si>
</sst>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8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rgb="FFCC0000"/>
      <name val="Calibri"/>
      <family val="2"/>
      <scheme val="minor"/>
    </font>
    <font>
      <b/>
      <sz val="16"/>
      <color rgb="FF00B050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rgb="FFFFC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78909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BEFF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164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3" fontId="3" fillId="3" borderId="1" xfId="0" applyNumberFormat="1" applyFont="1" applyFill="1" applyBorder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3" fontId="3" fillId="4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14" fontId="3" fillId="3" borderId="1" xfId="0" applyNumberFormat="1" applyFont="1" applyFill="1" applyBorder="1" applyAlignment="1">
      <alignment horizontal="right" vertical="center" wrapText="1"/>
    </xf>
    <xf numFmtId="14" fontId="3" fillId="4" borderId="1" xfId="0" applyNumberFormat="1" applyFont="1" applyFill="1" applyBorder="1" applyAlignment="1">
      <alignment horizontal="right" vertical="center" wrapText="1"/>
    </xf>
    <xf numFmtId="14" fontId="3" fillId="4" borderId="4" xfId="0" applyNumberFormat="1" applyFont="1" applyFill="1" applyBorder="1" applyAlignment="1">
      <alignment horizontal="center" vertical="center" wrapText="1"/>
    </xf>
    <xf numFmtId="14" fontId="3" fillId="4" borderId="4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4" fontId="3" fillId="6" borderId="0" xfId="0" applyNumberFormat="1" applyFont="1" applyFill="1" applyAlignment="1">
      <alignment horizontal="center" vertical="center" wrapText="1"/>
    </xf>
    <xf numFmtId="0" fontId="0" fillId="4" borderId="1" xfId="0" applyFill="1" applyBorder="1" applyAlignment="1">
      <alignment vertical="center" wrapText="1"/>
    </xf>
    <xf numFmtId="3" fontId="7" fillId="3" borderId="1" xfId="0" applyNumberFormat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14" fontId="3" fillId="4" borderId="2" xfId="0" applyNumberFormat="1" applyFont="1" applyFill="1" applyBorder="1" applyAlignment="1">
      <alignment horizontal="center" vertical="center" wrapText="1"/>
    </xf>
    <xf numFmtId="14" fontId="3" fillId="4" borderId="3" xfId="0" applyNumberFormat="1" applyFont="1" applyFill="1" applyBorder="1" applyAlignment="1">
      <alignment horizontal="center" vertical="center" wrapText="1"/>
    </xf>
    <xf numFmtId="14" fontId="3" fillId="4" borderId="4" xfId="0" applyNumberFormat="1" applyFont="1" applyFill="1" applyBorder="1" applyAlignment="1">
      <alignment horizontal="center" vertical="center" wrapText="1"/>
    </xf>
    <xf numFmtId="14" fontId="3" fillId="4" borderId="2" xfId="0" applyNumberFormat="1" applyFont="1" applyFill="1" applyBorder="1" applyAlignment="1">
      <alignment horizontal="right" vertical="center" wrapText="1"/>
    </xf>
    <xf numFmtId="14" fontId="3" fillId="4" borderId="4" xfId="0" applyNumberFormat="1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3" fontId="2" fillId="3" borderId="1" xfId="0" applyNumberFormat="1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3" fontId="5" fillId="4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0000"/>
      <color rgb="FFEBEF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55"/>
  <sheetViews>
    <sheetView tabSelected="1" topLeftCell="A25" workbookViewId="0">
      <selection activeCell="E52" sqref="E52:E53"/>
    </sheetView>
  </sheetViews>
  <sheetFormatPr baseColWidth="10" defaultColWidth="9.140625" defaultRowHeight="15" x14ac:dyDescent="0.25"/>
  <cols>
    <col min="1" max="1" width="14.7109375" bestFit="1" customWidth="1"/>
    <col min="2" max="2" width="27.7109375" customWidth="1"/>
    <col min="3" max="3" width="47.85546875" customWidth="1"/>
    <col min="4" max="4" width="22.28515625" customWidth="1"/>
    <col min="5" max="5" width="31.85546875" customWidth="1"/>
    <col min="6" max="6" width="35.42578125" customWidth="1"/>
  </cols>
  <sheetData>
    <row r="1" spans="1:6" ht="26.25" x14ac:dyDescent="0.25">
      <c r="A1" s="14" t="s">
        <v>8</v>
      </c>
      <c r="B1" s="14"/>
      <c r="C1" s="14"/>
      <c r="D1" s="14"/>
      <c r="E1" s="14"/>
      <c r="F1" s="14"/>
    </row>
    <row r="2" spans="1:6" ht="26.25" x14ac:dyDescent="0.25">
      <c r="A2" s="15"/>
      <c r="B2" s="15"/>
      <c r="C2" s="15"/>
      <c r="D2" s="15"/>
      <c r="E2" s="15"/>
      <c r="F2" s="15"/>
    </row>
    <row r="3" spans="1:6" ht="42" x14ac:dyDescent="0.25">
      <c r="A3" s="7" t="s">
        <v>0</v>
      </c>
      <c r="B3" s="7" t="s">
        <v>1</v>
      </c>
      <c r="C3" s="7" t="s">
        <v>2</v>
      </c>
      <c r="D3" s="7" t="s">
        <v>3</v>
      </c>
      <c r="E3" s="8" t="s">
        <v>6</v>
      </c>
      <c r="F3" s="9" t="s">
        <v>7</v>
      </c>
    </row>
    <row r="4" spans="1:6" ht="18.75" x14ac:dyDescent="0.25">
      <c r="A4" s="10">
        <v>45661</v>
      </c>
      <c r="B4" s="1">
        <v>6</v>
      </c>
      <c r="C4" s="2" t="s">
        <v>9</v>
      </c>
      <c r="D4" s="3">
        <v>428220</v>
      </c>
      <c r="E4" s="3">
        <v>0</v>
      </c>
      <c r="F4" s="3" t="s">
        <v>10</v>
      </c>
    </row>
    <row r="5" spans="1:6" ht="18.75" x14ac:dyDescent="0.25">
      <c r="A5" s="11">
        <v>45665</v>
      </c>
      <c r="B5" s="4">
        <v>6</v>
      </c>
      <c r="C5" s="5" t="s">
        <v>9</v>
      </c>
      <c r="D5" s="6">
        <v>428740</v>
      </c>
      <c r="E5" s="6">
        <f>+D5-D4</f>
        <v>520</v>
      </c>
      <c r="F5" s="6" t="s">
        <v>10</v>
      </c>
    </row>
    <row r="6" spans="1:6" ht="18.75" x14ac:dyDescent="0.25">
      <c r="A6" s="11">
        <v>45670</v>
      </c>
      <c r="B6" s="1">
        <v>6</v>
      </c>
      <c r="C6" s="2" t="s">
        <v>9</v>
      </c>
      <c r="D6" s="3">
        <v>429445</v>
      </c>
      <c r="E6" s="3">
        <f>+D6-D5</f>
        <v>705</v>
      </c>
      <c r="F6" s="3" t="s">
        <v>10</v>
      </c>
    </row>
    <row r="7" spans="1:6" ht="18.75" x14ac:dyDescent="0.25">
      <c r="A7" s="11">
        <v>45671</v>
      </c>
      <c r="B7" s="4">
        <v>1</v>
      </c>
      <c r="C7" s="5" t="s">
        <v>11</v>
      </c>
      <c r="D7" s="6" t="s">
        <v>10</v>
      </c>
      <c r="E7" s="6" t="s">
        <v>10</v>
      </c>
      <c r="F7" s="6" t="s">
        <v>10</v>
      </c>
    </row>
    <row r="8" spans="1:6" ht="18.75" x14ac:dyDescent="0.25">
      <c r="A8" s="10">
        <v>45672</v>
      </c>
      <c r="B8" s="1">
        <v>6</v>
      </c>
      <c r="C8" s="2" t="s">
        <v>9</v>
      </c>
      <c r="D8" s="3">
        <v>429933</v>
      </c>
      <c r="E8" s="3">
        <f>+D8-D6</f>
        <v>488</v>
      </c>
      <c r="F8" s="3" t="s">
        <v>10</v>
      </c>
    </row>
    <row r="9" spans="1:6" ht="18.75" x14ac:dyDescent="0.25">
      <c r="A9" s="21">
        <v>45682</v>
      </c>
      <c r="B9" s="4">
        <v>5</v>
      </c>
      <c r="C9" s="5" t="s">
        <v>12</v>
      </c>
      <c r="D9" s="6" t="s">
        <v>10</v>
      </c>
      <c r="E9" s="6" t="s">
        <v>10</v>
      </c>
      <c r="F9" s="6" t="s">
        <v>10</v>
      </c>
    </row>
    <row r="10" spans="1:6" ht="18.75" x14ac:dyDescent="0.25">
      <c r="A10" s="22"/>
      <c r="B10" s="1">
        <v>4</v>
      </c>
      <c r="C10" s="2" t="s">
        <v>13</v>
      </c>
      <c r="D10" s="3" t="s">
        <v>10</v>
      </c>
      <c r="E10" s="3" t="s">
        <v>10</v>
      </c>
      <c r="F10" s="3" t="s">
        <v>10</v>
      </c>
    </row>
    <row r="11" spans="1:6" ht="18.75" x14ac:dyDescent="0.25">
      <c r="A11" s="23"/>
      <c r="B11" s="4">
        <v>6</v>
      </c>
      <c r="C11" s="5" t="s">
        <v>9</v>
      </c>
      <c r="D11" s="6">
        <v>430819</v>
      </c>
      <c r="E11" s="6">
        <f>+D11-D8</f>
        <v>886</v>
      </c>
      <c r="F11" s="6" t="s">
        <v>10</v>
      </c>
    </row>
    <row r="12" spans="1:6" ht="18.75" x14ac:dyDescent="0.25">
      <c r="A12" s="10">
        <v>45683</v>
      </c>
      <c r="B12" s="1">
        <v>1</v>
      </c>
      <c r="C12" s="2" t="s">
        <v>14</v>
      </c>
      <c r="D12" s="3" t="s">
        <v>10</v>
      </c>
      <c r="E12" s="3" t="s">
        <v>10</v>
      </c>
      <c r="F12" s="3" t="s">
        <v>10</v>
      </c>
    </row>
    <row r="13" spans="1:6" ht="18.75" x14ac:dyDescent="0.25">
      <c r="A13" s="21">
        <v>45684</v>
      </c>
      <c r="B13" s="4">
        <v>11</v>
      </c>
      <c r="C13" s="5" t="s">
        <v>15</v>
      </c>
      <c r="D13" s="6" t="s">
        <v>10</v>
      </c>
      <c r="E13" s="6" t="s">
        <v>10</v>
      </c>
      <c r="F13" s="6" t="s">
        <v>10</v>
      </c>
    </row>
    <row r="14" spans="1:6" ht="18.75" x14ac:dyDescent="0.25">
      <c r="A14" s="22"/>
      <c r="B14" s="1">
        <v>2</v>
      </c>
      <c r="C14" s="2" t="s">
        <v>16</v>
      </c>
      <c r="D14" s="3" t="s">
        <v>10</v>
      </c>
      <c r="E14" s="3" t="s">
        <v>10</v>
      </c>
      <c r="F14" s="3" t="s">
        <v>10</v>
      </c>
    </row>
    <row r="15" spans="1:6" ht="18.75" x14ac:dyDescent="0.25">
      <c r="A15" s="23"/>
      <c r="B15" s="4">
        <v>5</v>
      </c>
      <c r="C15" s="5" t="s">
        <v>17</v>
      </c>
      <c r="D15" s="6" t="s">
        <v>10</v>
      </c>
      <c r="E15" s="6" t="s">
        <v>10</v>
      </c>
      <c r="F15" s="6" t="s">
        <v>10</v>
      </c>
    </row>
    <row r="16" spans="1:6" ht="18.75" x14ac:dyDescent="0.25">
      <c r="A16" s="12">
        <v>45692</v>
      </c>
      <c r="B16" s="4">
        <v>8</v>
      </c>
      <c r="C16" s="5" t="s">
        <v>18</v>
      </c>
      <c r="D16" s="6" t="s">
        <v>10</v>
      </c>
      <c r="E16" s="6" t="s">
        <v>10</v>
      </c>
      <c r="F16" s="6" t="s">
        <v>10</v>
      </c>
    </row>
    <row r="17" spans="1:6" ht="18.75" x14ac:dyDescent="0.25">
      <c r="A17" s="12">
        <v>45694</v>
      </c>
      <c r="B17" s="4">
        <v>2</v>
      </c>
      <c r="C17" s="5" t="s">
        <v>19</v>
      </c>
      <c r="D17" s="6" t="s">
        <v>10</v>
      </c>
      <c r="E17" s="6" t="s">
        <v>10</v>
      </c>
      <c r="F17" s="6" t="s">
        <v>10</v>
      </c>
    </row>
    <row r="18" spans="1:6" ht="18.75" x14ac:dyDescent="0.25">
      <c r="A18" s="21">
        <v>45696</v>
      </c>
      <c r="B18" s="4">
        <v>6</v>
      </c>
      <c r="C18" s="5" t="s">
        <v>9</v>
      </c>
      <c r="D18" s="6">
        <v>432305</v>
      </c>
      <c r="E18" s="6">
        <f>D18-D11</f>
        <v>1486</v>
      </c>
      <c r="F18" s="6" t="s">
        <v>10</v>
      </c>
    </row>
    <row r="19" spans="1:6" ht="18.75" x14ac:dyDescent="0.25">
      <c r="A19" s="22"/>
      <c r="B19" s="4">
        <v>2</v>
      </c>
      <c r="C19" s="5" t="s">
        <v>20</v>
      </c>
      <c r="D19" s="6">
        <v>432305</v>
      </c>
      <c r="E19" s="6" t="s">
        <v>10</v>
      </c>
      <c r="F19" s="6">
        <v>0</v>
      </c>
    </row>
    <row r="20" spans="1:6" ht="18.75" x14ac:dyDescent="0.25">
      <c r="A20" s="23"/>
      <c r="B20" s="4">
        <v>1</v>
      </c>
      <c r="C20" s="5" t="s">
        <v>21</v>
      </c>
      <c r="D20" s="6" t="s">
        <v>10</v>
      </c>
      <c r="E20" s="6" t="s">
        <v>10</v>
      </c>
      <c r="F20" s="6" t="s">
        <v>10</v>
      </c>
    </row>
    <row r="21" spans="1:6" ht="18.75" x14ac:dyDescent="0.25">
      <c r="A21" s="21">
        <v>45704</v>
      </c>
      <c r="B21" s="4">
        <v>6</v>
      </c>
      <c r="C21" s="5" t="s">
        <v>9</v>
      </c>
      <c r="D21" s="6"/>
      <c r="E21" s="6"/>
      <c r="F21" s="6"/>
    </row>
    <row r="22" spans="1:6" ht="18.75" x14ac:dyDescent="0.25">
      <c r="A22" s="22"/>
      <c r="B22" s="4">
        <v>9</v>
      </c>
      <c r="C22" s="5" t="s">
        <v>22</v>
      </c>
      <c r="D22" s="6" t="s">
        <v>10</v>
      </c>
      <c r="E22" s="6" t="s">
        <v>10</v>
      </c>
      <c r="F22" s="6" t="s">
        <v>10</v>
      </c>
    </row>
    <row r="23" spans="1:6" ht="18.75" x14ac:dyDescent="0.25">
      <c r="A23" s="23"/>
      <c r="B23" s="4">
        <v>4</v>
      </c>
      <c r="C23" s="5" t="s">
        <v>13</v>
      </c>
      <c r="D23" s="6" t="s">
        <v>10</v>
      </c>
      <c r="E23" s="6" t="s">
        <v>10</v>
      </c>
      <c r="F23" s="6" t="s">
        <v>10</v>
      </c>
    </row>
    <row r="24" spans="1:6" ht="18.75" x14ac:dyDescent="0.25">
      <c r="A24" s="12">
        <v>45707</v>
      </c>
      <c r="B24" s="4">
        <v>2</v>
      </c>
      <c r="C24" s="5" t="s">
        <v>20</v>
      </c>
      <c r="D24" s="6"/>
      <c r="E24" s="6"/>
      <c r="F24" s="6"/>
    </row>
    <row r="25" spans="1:6" ht="18.75" x14ac:dyDescent="0.25">
      <c r="A25" s="11">
        <v>45711</v>
      </c>
      <c r="B25" s="1">
        <v>1</v>
      </c>
      <c r="C25" s="2" t="s">
        <v>20</v>
      </c>
      <c r="D25" s="3"/>
      <c r="E25" s="3"/>
      <c r="F25" s="3"/>
    </row>
    <row r="26" spans="1:6" ht="18.75" x14ac:dyDescent="0.25">
      <c r="A26" s="21">
        <v>45713</v>
      </c>
      <c r="B26" s="4">
        <v>1</v>
      </c>
      <c r="C26" s="5" t="s">
        <v>23</v>
      </c>
      <c r="D26" s="6" t="s">
        <v>10</v>
      </c>
      <c r="E26" s="6" t="s">
        <v>10</v>
      </c>
      <c r="F26" s="6" t="s">
        <v>10</v>
      </c>
    </row>
    <row r="27" spans="1:6" ht="18.75" x14ac:dyDescent="0.25">
      <c r="A27" s="23"/>
      <c r="B27" s="1">
        <v>6</v>
      </c>
      <c r="C27" s="2" t="s">
        <v>9</v>
      </c>
      <c r="D27" s="3"/>
      <c r="E27" s="3"/>
      <c r="F27" s="3"/>
    </row>
    <row r="28" spans="1:6" ht="18.75" x14ac:dyDescent="0.25">
      <c r="A28" s="21">
        <v>45714</v>
      </c>
      <c r="B28" s="4">
        <v>4</v>
      </c>
      <c r="C28" s="5" t="s">
        <v>24</v>
      </c>
      <c r="D28" s="6" t="s">
        <v>10</v>
      </c>
      <c r="E28" s="6" t="s">
        <v>10</v>
      </c>
      <c r="F28" s="6" t="s">
        <v>10</v>
      </c>
    </row>
    <row r="29" spans="1:6" ht="18.75" x14ac:dyDescent="0.25">
      <c r="A29" s="23"/>
      <c r="B29" s="4">
        <v>1</v>
      </c>
      <c r="C29" s="5" t="s">
        <v>25</v>
      </c>
      <c r="D29" s="6" t="s">
        <v>10</v>
      </c>
      <c r="E29" s="6" t="s">
        <v>10</v>
      </c>
      <c r="F29" s="6" t="s">
        <v>10</v>
      </c>
    </row>
    <row r="30" spans="1:6" ht="18.75" x14ac:dyDescent="0.25">
      <c r="A30" s="21">
        <v>45726</v>
      </c>
      <c r="B30" s="4">
        <v>6</v>
      </c>
      <c r="C30" s="5" t="s">
        <v>9</v>
      </c>
      <c r="D30" s="6">
        <v>435120</v>
      </c>
      <c r="E30" s="6">
        <f>+D30-D18</f>
        <v>2815</v>
      </c>
      <c r="F30" s="6"/>
    </row>
    <row r="31" spans="1:6" ht="18.75" x14ac:dyDescent="0.25">
      <c r="A31" s="23"/>
      <c r="B31" s="4">
        <v>1</v>
      </c>
      <c r="C31" s="5" t="s">
        <v>20</v>
      </c>
      <c r="D31" s="6">
        <v>435120</v>
      </c>
      <c r="E31" s="6" t="s">
        <v>10</v>
      </c>
      <c r="F31" s="6">
        <f>+D31-D19</f>
        <v>2815</v>
      </c>
    </row>
    <row r="32" spans="1:6" ht="18.75" x14ac:dyDescent="0.25">
      <c r="A32" s="12">
        <v>45732</v>
      </c>
      <c r="B32" s="4">
        <v>2</v>
      </c>
      <c r="C32" s="5" t="s">
        <v>26</v>
      </c>
      <c r="D32" s="6" t="s">
        <v>10</v>
      </c>
      <c r="E32" s="6" t="s">
        <v>10</v>
      </c>
      <c r="F32" s="6" t="s">
        <v>10</v>
      </c>
    </row>
    <row r="33" spans="1:6" ht="18.75" x14ac:dyDescent="0.25">
      <c r="A33" s="12">
        <v>45744</v>
      </c>
      <c r="B33" s="4">
        <v>2</v>
      </c>
      <c r="C33" s="5" t="s">
        <v>27</v>
      </c>
      <c r="D33" s="6" t="s">
        <v>10</v>
      </c>
      <c r="E33" s="6" t="s">
        <v>10</v>
      </c>
      <c r="F33" s="6" t="s">
        <v>10</v>
      </c>
    </row>
    <row r="34" spans="1:6" ht="18.75" x14ac:dyDescent="0.25">
      <c r="A34" s="12">
        <v>45745</v>
      </c>
      <c r="B34" s="4">
        <v>6</v>
      </c>
      <c r="C34" s="5" t="s">
        <v>9</v>
      </c>
      <c r="D34" s="6">
        <v>436572</v>
      </c>
      <c r="E34" s="6">
        <f>+D34-D31</f>
        <v>1452</v>
      </c>
      <c r="F34" s="6" t="s">
        <v>10</v>
      </c>
    </row>
    <row r="35" spans="1:6" ht="18.75" x14ac:dyDescent="0.25">
      <c r="A35" s="12">
        <v>45748</v>
      </c>
      <c r="B35" s="4">
        <v>2</v>
      </c>
      <c r="C35" s="5" t="s">
        <v>20</v>
      </c>
      <c r="D35" s="6">
        <v>436572</v>
      </c>
      <c r="E35" s="6" t="s">
        <v>10</v>
      </c>
      <c r="F35" s="6">
        <f>D35-D31</f>
        <v>1452</v>
      </c>
    </row>
    <row r="36" spans="1:6" ht="18.75" x14ac:dyDescent="0.25">
      <c r="A36" s="24">
        <v>45755</v>
      </c>
      <c r="B36" s="4">
        <v>1</v>
      </c>
      <c r="C36" s="5" t="s">
        <v>25</v>
      </c>
      <c r="D36" s="6" t="s">
        <v>10</v>
      </c>
      <c r="E36" s="6" t="s">
        <v>10</v>
      </c>
      <c r="F36" s="6" t="s">
        <v>10</v>
      </c>
    </row>
    <row r="37" spans="1:6" ht="18.75" x14ac:dyDescent="0.25">
      <c r="A37" s="25"/>
      <c r="B37" s="4">
        <v>6</v>
      </c>
      <c r="C37" s="5" t="s">
        <v>9</v>
      </c>
      <c r="D37" s="6">
        <v>437537</v>
      </c>
      <c r="E37" s="6">
        <f>+D37-D34</f>
        <v>965</v>
      </c>
      <c r="F37" s="6" t="s">
        <v>10</v>
      </c>
    </row>
    <row r="38" spans="1:6" ht="18.75" x14ac:dyDescent="0.25">
      <c r="A38" s="13">
        <v>45761</v>
      </c>
      <c r="B38" s="4">
        <v>6</v>
      </c>
      <c r="C38" s="5" t="s">
        <v>9</v>
      </c>
      <c r="D38" s="6">
        <v>438277</v>
      </c>
      <c r="E38" s="6">
        <f>+D38-D37</f>
        <v>740</v>
      </c>
      <c r="F38" s="6" t="s">
        <v>10</v>
      </c>
    </row>
    <row r="39" spans="1:6" ht="18.75" x14ac:dyDescent="0.25">
      <c r="A39" s="13">
        <v>45773</v>
      </c>
      <c r="B39" s="4">
        <v>6</v>
      </c>
      <c r="C39" s="5" t="s">
        <v>9</v>
      </c>
      <c r="D39" s="6">
        <v>439203</v>
      </c>
      <c r="E39" s="6">
        <f>+D39-D38</f>
        <v>926</v>
      </c>
      <c r="F39" s="6" t="s">
        <v>10</v>
      </c>
    </row>
    <row r="40" spans="1:6" ht="18.75" x14ac:dyDescent="0.25">
      <c r="A40" s="13">
        <v>45776</v>
      </c>
      <c r="B40" s="4">
        <v>1</v>
      </c>
      <c r="C40" s="5" t="s">
        <v>28</v>
      </c>
      <c r="D40" s="6" t="s">
        <v>10</v>
      </c>
      <c r="E40" s="6" t="s">
        <v>10</v>
      </c>
      <c r="F40" s="6" t="s">
        <v>10</v>
      </c>
    </row>
    <row r="41" spans="1:6" ht="18.75" x14ac:dyDescent="0.25">
      <c r="A41" s="24">
        <v>45777</v>
      </c>
      <c r="B41" s="4">
        <v>5</v>
      </c>
      <c r="C41" s="5" t="s">
        <v>13</v>
      </c>
      <c r="D41" s="6" t="s">
        <v>10</v>
      </c>
      <c r="E41" s="6" t="s">
        <v>10</v>
      </c>
      <c r="F41" s="6" t="s">
        <v>10</v>
      </c>
    </row>
    <row r="42" spans="1:6" ht="18.75" x14ac:dyDescent="0.25">
      <c r="A42" s="25"/>
      <c r="B42" s="4">
        <v>1</v>
      </c>
      <c r="C42" s="5" t="s">
        <v>29</v>
      </c>
      <c r="D42" s="6" t="s">
        <v>10</v>
      </c>
      <c r="E42" s="6" t="s">
        <v>10</v>
      </c>
      <c r="F42" s="6" t="s">
        <v>10</v>
      </c>
    </row>
    <row r="43" spans="1:6" ht="18.75" x14ac:dyDescent="0.25">
      <c r="A43" s="13"/>
      <c r="B43" s="4"/>
      <c r="C43" s="5"/>
      <c r="D43" s="6"/>
      <c r="E43" s="6"/>
      <c r="F43" s="6"/>
    </row>
    <row r="44" spans="1:6" ht="18.75" x14ac:dyDescent="0.25">
      <c r="A44" s="13"/>
      <c r="B44" s="4"/>
      <c r="C44" s="5"/>
      <c r="D44" s="6"/>
      <c r="E44" s="6"/>
      <c r="F44" s="6"/>
    </row>
    <row r="45" spans="1:6" ht="18.75" x14ac:dyDescent="0.25">
      <c r="A45" s="13"/>
      <c r="B45" s="4"/>
      <c r="C45" s="5"/>
      <c r="D45" s="6"/>
      <c r="E45" s="6"/>
      <c r="F45" s="6"/>
    </row>
    <row r="46" spans="1:6" ht="18.75" x14ac:dyDescent="0.25">
      <c r="A46" s="13"/>
      <c r="B46" s="4"/>
      <c r="C46" s="5"/>
      <c r="D46" s="6"/>
      <c r="E46" s="6"/>
      <c r="F46" s="6"/>
    </row>
    <row r="47" spans="1:6" ht="18.75" x14ac:dyDescent="0.25">
      <c r="A47" s="13"/>
      <c r="B47" s="4"/>
      <c r="C47" s="5"/>
      <c r="D47" s="6"/>
      <c r="E47" s="6"/>
      <c r="F47" s="6"/>
    </row>
    <row r="48" spans="1:6" ht="18.75" x14ac:dyDescent="0.25">
      <c r="A48" s="13"/>
      <c r="B48" s="4"/>
      <c r="C48" s="5"/>
      <c r="D48" s="6"/>
      <c r="E48" s="6"/>
      <c r="F48" s="6"/>
    </row>
    <row r="49" spans="1:6" ht="18.75" x14ac:dyDescent="0.25">
      <c r="A49" s="11"/>
      <c r="B49" s="4"/>
      <c r="C49" s="5"/>
      <c r="D49" s="6"/>
      <c r="E49" s="6"/>
      <c r="F49" s="6"/>
    </row>
    <row r="50" spans="1:6" ht="18.75" x14ac:dyDescent="0.25">
      <c r="A50" s="11"/>
      <c r="B50" s="1"/>
      <c r="C50" s="2"/>
      <c r="D50" s="3"/>
      <c r="E50" s="3"/>
      <c r="F50" s="3"/>
    </row>
    <row r="51" spans="1:6" ht="18.75" x14ac:dyDescent="0.25">
      <c r="A51" s="17"/>
      <c r="B51" s="17"/>
      <c r="C51" s="17"/>
      <c r="D51" s="17"/>
      <c r="E51" s="17"/>
      <c r="F51" s="17"/>
    </row>
    <row r="52" spans="1:6" x14ac:dyDescent="0.25">
      <c r="A52" s="16" t="s">
        <v>4</v>
      </c>
      <c r="B52" s="28">
        <f>SUM(B4:B50)</f>
        <v>157</v>
      </c>
      <c r="C52" s="18"/>
      <c r="D52" s="18"/>
      <c r="E52" s="29">
        <f>+SUM(E4:E50)</f>
        <v>10983</v>
      </c>
      <c r="F52" s="19">
        <f>SUM(F4:F50)</f>
        <v>4267</v>
      </c>
    </row>
    <row r="53" spans="1:6" x14ac:dyDescent="0.25">
      <c r="A53" s="16"/>
      <c r="B53" s="28"/>
      <c r="C53" s="18"/>
      <c r="D53" s="18"/>
      <c r="E53" s="30"/>
      <c r="F53" s="20"/>
    </row>
    <row r="54" spans="1:6" x14ac:dyDescent="0.25">
      <c r="A54" s="26" t="s">
        <v>5</v>
      </c>
      <c r="B54" s="26"/>
      <c r="C54" s="26"/>
      <c r="D54" s="26"/>
      <c r="E54" s="27">
        <f>+AVERAGE(E4:E50)</f>
        <v>998.4545454545455</v>
      </c>
      <c r="F54" s="27">
        <f>AVERAGE(F4:F50)</f>
        <v>1422.3333333333333</v>
      </c>
    </row>
    <row r="55" spans="1:6" x14ac:dyDescent="0.25">
      <c r="A55" s="26"/>
      <c r="B55" s="26"/>
      <c r="C55" s="26"/>
      <c r="D55" s="26"/>
      <c r="E55" s="26"/>
      <c r="F55" s="26"/>
    </row>
  </sheetData>
  <mergeCells count="20">
    <mergeCell ref="A54:D55"/>
    <mergeCell ref="F54:F55"/>
    <mergeCell ref="B52:B53"/>
    <mergeCell ref="E52:E53"/>
    <mergeCell ref="E54:E55"/>
    <mergeCell ref="A1:F1"/>
    <mergeCell ref="A2:F2"/>
    <mergeCell ref="A52:A53"/>
    <mergeCell ref="A51:F51"/>
    <mergeCell ref="C52:D53"/>
    <mergeCell ref="F52:F53"/>
    <mergeCell ref="A9:A11"/>
    <mergeCell ref="A13:A15"/>
    <mergeCell ref="A18:A20"/>
    <mergeCell ref="A21:A23"/>
    <mergeCell ref="A26:A27"/>
    <mergeCell ref="A28:A29"/>
    <mergeCell ref="A30:A31"/>
    <mergeCell ref="A36:A37"/>
    <mergeCell ref="A41:A42"/>
  </mergeCells>
  <pageMargins left="0.7" right="0.7" top="0.75" bottom="0.75" header="0.3" footer="0.3"/>
  <pageSetup paperSize="9" scale="4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2026-07-25T11:22:16Z</dcterms:modified>
</cp:coreProperties>
</file>