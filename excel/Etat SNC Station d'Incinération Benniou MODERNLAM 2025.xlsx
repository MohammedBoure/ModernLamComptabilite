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78974E8-E50B-4B77-B8CE-81DD936139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D43" i="1"/>
  <c r="H13" i="1"/>
  <c r="D46" i="1"/>
  <c r="D45" i="1"/>
  <c r="D44" i="1"/>
  <c r="F21" i="1" l="1"/>
  <c r="H21" i="1" s="1"/>
  <c r="F20" i="1"/>
  <c r="H20" i="1" s="1"/>
  <c r="F43" i="1" l="1"/>
  <c r="F46" i="1"/>
  <c r="F45" i="1"/>
  <c r="F44" i="1"/>
  <c r="H44" i="1" l="1"/>
  <c r="H45" i="1"/>
  <c r="H46" i="1"/>
  <c r="H43" i="1"/>
</calcChain>
</file>

<file path=xl/sharedStrings.xml><?xml version="1.0" encoding="utf-8"?>
<sst xmlns="http://schemas.openxmlformats.org/spreadsheetml/2006/main" count="16" uniqueCount="13">
  <si>
    <t>MOIS</t>
  </si>
  <si>
    <t>DATE DE REMISE</t>
  </si>
  <si>
    <t>POIDS (KG)</t>
  </si>
  <si>
    <t>MONTANT</t>
  </si>
  <si>
    <t>PAIEMENT</t>
  </si>
  <si>
    <t>TOTAL</t>
  </si>
  <si>
    <t>ETAT SNC STATION D'INCINÉRATION BENNIOU</t>
  </si>
  <si>
    <t>MAX</t>
  </si>
  <si>
    <t>MIN</t>
  </si>
  <si>
    <t>MOYENNE</t>
  </si>
  <si>
    <t>Le :</t>
  </si>
  <si>
    <t>TOTAL/MOIS</t>
  </si>
  <si>
    <t>Non payé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</si>
</sst>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[$-F800]dddd\,\ mmmm\ dd\,\ yyyy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Arial"/>
      <family val="2"/>
    </font>
    <font>
      <b/>
      <sz val="2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A2E8F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737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CCCCC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5" fillId="9" borderId="11" xfId="0" applyNumberFormat="1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6" fillId="0" borderId="0" xfId="0" applyNumberFormat="1" applyFont="1" applyAlignment="1">
      <alignment horizontal="right" vertical="center"/>
    </xf>
    <xf numFmtId="14" fontId="6" fillId="0" borderId="0" xfId="0" applyNumberFormat="1" applyFont="1" applyAlignment="1">
      <alignment horizontal="left" vertical="center"/>
    </xf>
    <xf numFmtId="164" fontId="5" fillId="8" borderId="5" xfId="0" applyNumberFormat="1" applyFont="1" applyFill="1" applyBorder="1" applyAlignment="1">
      <alignment horizontal="center" vertical="center"/>
    </xf>
    <xf numFmtId="164" fontId="7" fillId="5" borderId="23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17" fontId="2" fillId="4" borderId="1" xfId="0" applyNumberFormat="1" applyFont="1" applyFill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164" fontId="2" fillId="4" borderId="11" xfId="0" applyNumberFormat="1" applyFont="1" applyFill="1" applyBorder="1" applyAlignment="1">
      <alignment horizontal="center" vertical="center" wrapText="1"/>
    </xf>
    <xf numFmtId="17" fontId="2" fillId="3" borderId="18" xfId="0" applyNumberFormat="1" applyFont="1" applyFill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0" fontId="2" fillId="11" borderId="19" xfId="0" applyFont="1" applyFill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wrapText="1"/>
    </xf>
    <xf numFmtId="164" fontId="4" fillId="5" borderId="21" xfId="0" applyNumberFormat="1" applyFont="1" applyFill="1" applyBorder="1" applyAlignment="1">
      <alignment vertical="center"/>
    </xf>
    <xf numFmtId="164" fontId="5" fillId="9" borderId="12" xfId="0" applyNumberFormat="1" applyFont="1" applyFill="1" applyBorder="1" applyAlignment="1">
      <alignment vertical="center"/>
    </xf>
    <xf numFmtId="164" fontId="5" fillId="7" borderId="3" xfId="0" applyNumberFormat="1" applyFont="1" applyFill="1" applyBorder="1" applyAlignment="1">
      <alignment vertical="center"/>
    </xf>
    <xf numFmtId="164" fontId="5" fillId="8" borderId="6" xfId="0" applyNumberFormat="1" applyFont="1" applyFill="1" applyBorder="1" applyAlignment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164" fontId="2" fillId="4" borderId="8" xfId="0" applyNumberFormat="1" applyFont="1" applyFill="1" applyBorder="1" applyAlignment="1">
      <alignment horizontal="center" vertical="center"/>
    </xf>
    <xf numFmtId="164" fontId="2" fillId="4" borderId="11" xfId="0" applyNumberFormat="1" applyFont="1" applyFill="1" applyBorder="1" applyAlignment="1">
      <alignment horizontal="center" vertical="center"/>
    </xf>
    <xf numFmtId="17" fontId="2" fillId="4" borderId="8" xfId="0" applyNumberFormat="1" applyFont="1" applyFill="1" applyBorder="1" applyAlignment="1">
      <alignment horizontal="center" vertical="center" wrapText="1"/>
    </xf>
    <xf numFmtId="17" fontId="2" fillId="4" borderId="11" xfId="0" applyNumberFormat="1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165" fontId="2" fillId="4" borderId="14" xfId="0" applyNumberFormat="1" applyFont="1" applyFill="1" applyBorder="1" applyAlignment="1">
      <alignment horizontal="right" vertical="center" wrapText="1"/>
    </xf>
    <xf numFmtId="165" fontId="2" fillId="4" borderId="15" xfId="0" applyNumberFormat="1" applyFont="1" applyFill="1" applyBorder="1" applyAlignment="1">
      <alignment horizontal="right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165" fontId="2" fillId="3" borderId="14" xfId="0" applyNumberFormat="1" applyFont="1" applyFill="1" applyBorder="1" applyAlignment="1">
      <alignment horizontal="right" vertical="center" wrapText="1"/>
    </xf>
    <xf numFmtId="165" fontId="2" fillId="3" borderId="15" xfId="0" applyNumberFormat="1" applyFont="1" applyFill="1" applyBorder="1" applyAlignment="1">
      <alignment horizontal="right" vertical="center" wrapText="1"/>
    </xf>
    <xf numFmtId="0" fontId="1" fillId="2" borderId="8" xfId="0" applyFont="1" applyFill="1" applyBorder="1" applyAlignment="1">
      <alignment horizontal="center" vertical="center" wrapText="1"/>
    </xf>
    <xf numFmtId="165" fontId="2" fillId="3" borderId="28" xfId="0" applyNumberFormat="1" applyFont="1" applyFill="1" applyBorder="1" applyAlignment="1">
      <alignment horizontal="right" vertical="center" wrapText="1"/>
    </xf>
    <xf numFmtId="165" fontId="2" fillId="3" borderId="29" xfId="0" applyNumberFormat="1" applyFont="1" applyFill="1" applyBorder="1" applyAlignment="1">
      <alignment horizontal="right" vertical="center" wrapText="1"/>
    </xf>
    <xf numFmtId="165" fontId="2" fillId="4" borderId="26" xfId="0" applyNumberFormat="1" applyFont="1" applyFill="1" applyBorder="1" applyAlignment="1">
      <alignment horizontal="right" vertical="center" wrapText="1"/>
    </xf>
    <xf numFmtId="165" fontId="2" fillId="4" borderId="27" xfId="0" applyNumberFormat="1" applyFont="1" applyFill="1" applyBorder="1" applyAlignment="1">
      <alignment horizontal="right" vertical="center" wrapText="1"/>
    </xf>
    <xf numFmtId="0" fontId="2" fillId="3" borderId="28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right" vertical="center" wrapText="1"/>
    </xf>
    <xf numFmtId="165" fontId="2" fillId="0" borderId="15" xfId="0" applyNumberFormat="1" applyFont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165" fontId="2" fillId="4" borderId="14" xfId="0" applyNumberFormat="1" applyFont="1" applyFill="1" applyBorder="1" applyAlignment="1">
      <alignment horizontal="center" vertical="center" wrapText="1"/>
    </xf>
    <xf numFmtId="165" fontId="2" fillId="4" borderId="15" xfId="0" applyNumberFormat="1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 wrapText="1"/>
    </xf>
    <xf numFmtId="3" fontId="4" fillId="5" borderId="23" xfId="0" applyNumberFormat="1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3" fontId="5" fillId="9" borderId="1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center" vertical="center"/>
    </xf>
    <xf numFmtId="3" fontId="5" fillId="8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737"/>
      <color rgb="FFE0F7FA"/>
      <color rgb="FFFF6D6D"/>
      <color rgb="FFA2E8F1"/>
      <color rgb="FF4DD0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171450</xdr:rowOff>
    </xdr:from>
    <xdr:to>
      <xdr:col>8</xdr:col>
      <xdr:colOff>133350</xdr:colOff>
      <xdr:row>11</xdr:row>
      <xdr:rowOff>48782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AA1858C-625F-1F7C-4764-99FA1D5F8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1450"/>
          <a:ext cx="10287000" cy="19728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3:H46"/>
  <sheetViews>
    <sheetView tabSelected="1" topLeftCell="A16" workbookViewId="0">
      <selection activeCell="B26" sqref="B26:C26"/>
    </sheetView>
  </sheetViews>
  <sheetFormatPr baseColWidth="10" defaultColWidth="9.140625" defaultRowHeight="15" x14ac:dyDescent="0.25"/>
  <cols>
    <col min="1" max="1" width="15.28515625" customWidth="1"/>
    <col min="2" max="2" width="11.5703125" customWidth="1"/>
    <col min="3" max="3" width="34.42578125" bestFit="1" customWidth="1"/>
    <col min="5" max="5" width="13.5703125" customWidth="1"/>
    <col min="6" max="6" width="25" bestFit="1" customWidth="1"/>
    <col min="7" max="7" width="20.28515625" customWidth="1"/>
    <col min="8" max="8" width="23" customWidth="1"/>
    <col min="9" max="9" width="6.5703125" customWidth="1"/>
  </cols>
  <sheetData>
    <row r="13" spans="1:8" ht="23.25" x14ac:dyDescent="0.25">
      <c r="G13" s="6" t="s">
        <v>10</v>
      </c>
      <c r="H13" s="7">
        <f ca="1">+TODAY()</f>
        <v>46228</v>
      </c>
    </row>
    <row r="14" spans="1:8" ht="23.25" x14ac:dyDescent="0.25">
      <c r="G14" s="6"/>
      <c r="H14" s="7"/>
    </row>
    <row r="15" spans="1:8" ht="15.75" thickBot="1" x14ac:dyDescent="0.3"/>
    <row r="16" spans="1:8" ht="24" thickBot="1" x14ac:dyDescent="0.4">
      <c r="A16" s="42" t="s">
        <v>6</v>
      </c>
      <c r="B16" s="43"/>
      <c r="C16" s="43"/>
      <c r="D16" s="43"/>
      <c r="E16" s="43"/>
      <c r="F16" s="43"/>
      <c r="G16" s="43"/>
      <c r="H16" s="44"/>
    </row>
    <row r="17" spans="1:8" ht="13.5" customHeight="1" x14ac:dyDescent="0.35">
      <c r="A17" s="5"/>
      <c r="B17" s="5"/>
      <c r="C17" s="5"/>
      <c r="D17" s="5"/>
      <c r="E17" s="5"/>
      <c r="F17" s="5"/>
      <c r="G17" s="5"/>
    </row>
    <row r="18" spans="1:8" ht="15" customHeight="1" thickBot="1" x14ac:dyDescent="0.4">
      <c r="A18" s="5"/>
      <c r="B18" s="5"/>
      <c r="C18" s="5"/>
      <c r="D18" s="5"/>
      <c r="E18" s="5"/>
      <c r="F18" s="5"/>
      <c r="G18" s="5"/>
    </row>
    <row r="19" spans="1:8" ht="21.75" thickBot="1" x14ac:dyDescent="0.3">
      <c r="A19" s="12" t="s">
        <v>0</v>
      </c>
      <c r="B19" s="51" t="s">
        <v>1</v>
      </c>
      <c r="C19" s="51"/>
      <c r="D19" s="51" t="s">
        <v>2</v>
      </c>
      <c r="E19" s="51"/>
      <c r="F19" s="13" t="s">
        <v>3</v>
      </c>
      <c r="G19" s="13" t="s">
        <v>4</v>
      </c>
      <c r="H19" s="17" t="s">
        <v>11</v>
      </c>
    </row>
    <row r="20" spans="1:8" ht="18.75" thickBot="1" x14ac:dyDescent="0.3">
      <c r="A20" s="26">
        <v>45809</v>
      </c>
      <c r="B20" s="52">
        <v>45821</v>
      </c>
      <c r="C20" s="53"/>
      <c r="D20" s="56">
        <v>5</v>
      </c>
      <c r="E20" s="57"/>
      <c r="F20" s="27">
        <f>110*D20</f>
        <v>550</v>
      </c>
      <c r="G20" s="28" t="s">
        <v>12</v>
      </c>
      <c r="H20" s="29">
        <f>SUM(F20)</f>
        <v>550</v>
      </c>
    </row>
    <row r="21" spans="1:8" ht="18.75" customHeight="1" x14ac:dyDescent="0.25">
      <c r="A21" s="40">
        <v>45839</v>
      </c>
      <c r="B21" s="54">
        <v>45846</v>
      </c>
      <c r="C21" s="55"/>
      <c r="D21" s="58">
        <v>4</v>
      </c>
      <c r="E21" s="59"/>
      <c r="F21" s="25">
        <f t="shared" ref="F21:F33" si="0">110*D21</f>
        <v>440</v>
      </c>
      <c r="G21" s="30" t="s">
        <v>12</v>
      </c>
      <c r="H21" s="38">
        <f>SUM(F21:F22)</f>
        <v>1100</v>
      </c>
    </row>
    <row r="22" spans="1:8" ht="18.75" customHeight="1" x14ac:dyDescent="0.25">
      <c r="A22" s="41"/>
      <c r="B22" s="49">
        <v>45860</v>
      </c>
      <c r="C22" s="50"/>
      <c r="D22" s="36">
        <v>6</v>
      </c>
      <c r="E22" s="37"/>
      <c r="F22" s="1">
        <f t="shared" si="0"/>
        <v>660</v>
      </c>
      <c r="G22" s="35" t="s">
        <v>12</v>
      </c>
      <c r="H22" s="39"/>
    </row>
    <row r="23" spans="1:8" ht="19.5" customHeight="1" x14ac:dyDescent="0.25">
      <c r="A23" s="15"/>
      <c r="B23" s="45"/>
      <c r="C23" s="46"/>
      <c r="D23" s="47"/>
      <c r="E23" s="48"/>
      <c r="F23" s="2">
        <f t="shared" si="0"/>
        <v>0</v>
      </c>
      <c r="G23" s="10"/>
      <c r="H23" s="22"/>
    </row>
    <row r="24" spans="1:8" ht="18.75" customHeight="1" x14ac:dyDescent="0.25">
      <c r="A24" s="14"/>
      <c r="B24" s="49"/>
      <c r="C24" s="50"/>
      <c r="D24" s="36"/>
      <c r="E24" s="37"/>
      <c r="F24" s="1">
        <f t="shared" si="0"/>
        <v>0</v>
      </c>
      <c r="G24" s="23"/>
      <c r="H24" s="20"/>
    </row>
    <row r="25" spans="1:8" ht="18.75" customHeight="1" x14ac:dyDescent="0.25">
      <c r="A25" s="15"/>
      <c r="B25" s="45"/>
      <c r="C25" s="46"/>
      <c r="D25" s="47"/>
      <c r="E25" s="48"/>
      <c r="F25" s="2">
        <f t="shared" si="0"/>
        <v>0</v>
      </c>
      <c r="G25" s="10"/>
      <c r="H25" s="21"/>
    </row>
    <row r="26" spans="1:8" ht="18.75" customHeight="1" x14ac:dyDescent="0.25">
      <c r="A26" s="16"/>
      <c r="B26" s="60"/>
      <c r="C26" s="61"/>
      <c r="D26" s="62"/>
      <c r="E26" s="63"/>
      <c r="F26" s="1">
        <f t="shared" si="0"/>
        <v>0</v>
      </c>
      <c r="G26" s="23"/>
      <c r="H26" s="20"/>
    </row>
    <row r="27" spans="1:8" ht="19.5" customHeight="1" x14ac:dyDescent="0.25">
      <c r="A27" s="15"/>
      <c r="B27" s="45"/>
      <c r="C27" s="46"/>
      <c r="D27" s="47"/>
      <c r="E27" s="48"/>
      <c r="F27" s="2">
        <f t="shared" si="0"/>
        <v>0</v>
      </c>
      <c r="G27" s="10"/>
      <c r="H27" s="22"/>
    </row>
    <row r="28" spans="1:8" ht="18.75" customHeight="1" x14ac:dyDescent="0.25">
      <c r="A28" s="16"/>
      <c r="B28" s="60"/>
      <c r="C28" s="61"/>
      <c r="D28" s="62"/>
      <c r="E28" s="63"/>
      <c r="F28" s="1">
        <f t="shared" si="0"/>
        <v>0</v>
      </c>
      <c r="G28" s="23"/>
      <c r="H28" s="20"/>
    </row>
    <row r="29" spans="1:8" ht="18.75" customHeight="1" x14ac:dyDescent="0.25">
      <c r="A29" s="15"/>
      <c r="B29" s="45"/>
      <c r="C29" s="46"/>
      <c r="D29" s="47"/>
      <c r="E29" s="48"/>
      <c r="F29" s="2">
        <f t="shared" si="0"/>
        <v>0</v>
      </c>
      <c r="G29" s="10"/>
      <c r="H29" s="21"/>
    </row>
    <row r="30" spans="1:8" ht="18.75" customHeight="1" x14ac:dyDescent="0.25">
      <c r="A30" s="16"/>
      <c r="B30" s="49"/>
      <c r="C30" s="50"/>
      <c r="D30" s="36"/>
      <c r="E30" s="37"/>
      <c r="F30" s="1">
        <f t="shared" si="0"/>
        <v>0</v>
      </c>
      <c r="G30" s="23"/>
      <c r="H30" s="20"/>
    </row>
    <row r="31" spans="1:8" ht="19.5" customHeight="1" x14ac:dyDescent="0.25">
      <c r="A31" s="15"/>
      <c r="B31" s="45"/>
      <c r="C31" s="46"/>
      <c r="D31" s="47"/>
      <c r="E31" s="48"/>
      <c r="F31" s="2">
        <f t="shared" si="0"/>
        <v>0</v>
      </c>
      <c r="G31" s="10"/>
      <c r="H31" s="22"/>
    </row>
    <row r="32" spans="1:8" ht="18.75" customHeight="1" x14ac:dyDescent="0.25">
      <c r="A32" s="16"/>
      <c r="B32" s="49"/>
      <c r="C32" s="50"/>
      <c r="D32" s="36"/>
      <c r="E32" s="37"/>
      <c r="F32" s="1">
        <f t="shared" si="0"/>
        <v>0</v>
      </c>
      <c r="G32" s="23"/>
      <c r="H32" s="20"/>
    </row>
    <row r="33" spans="1:8" ht="18.75" customHeight="1" x14ac:dyDescent="0.25">
      <c r="A33" s="15"/>
      <c r="B33" s="45"/>
      <c r="C33" s="46"/>
      <c r="D33" s="47"/>
      <c r="E33" s="48"/>
      <c r="F33" s="2">
        <f t="shared" si="0"/>
        <v>0</v>
      </c>
      <c r="G33" s="10"/>
      <c r="H33" s="22"/>
    </row>
    <row r="34" spans="1:8" ht="18" x14ac:dyDescent="0.25">
      <c r="A34" s="16"/>
      <c r="B34" s="60"/>
      <c r="C34" s="61"/>
      <c r="D34" s="62"/>
      <c r="E34" s="63"/>
      <c r="F34" s="1">
        <f t="shared" ref="F34:F41" si="1">110*D34</f>
        <v>0</v>
      </c>
      <c r="G34" s="23"/>
      <c r="H34" s="19"/>
    </row>
    <row r="35" spans="1:8" ht="18" x14ac:dyDescent="0.25">
      <c r="A35" s="15"/>
      <c r="B35" s="45"/>
      <c r="C35" s="46"/>
      <c r="D35" s="47"/>
      <c r="E35" s="48"/>
      <c r="F35" s="2">
        <f t="shared" si="1"/>
        <v>0</v>
      </c>
      <c r="G35" s="10"/>
      <c r="H35" s="21"/>
    </row>
    <row r="36" spans="1:8" ht="18" x14ac:dyDescent="0.25">
      <c r="A36" s="14"/>
      <c r="B36" s="49"/>
      <c r="C36" s="50"/>
      <c r="D36" s="36"/>
      <c r="E36" s="37"/>
      <c r="F36" s="18">
        <f t="shared" si="1"/>
        <v>0</v>
      </c>
      <c r="G36" s="23"/>
      <c r="H36" s="19"/>
    </row>
    <row r="37" spans="1:8" ht="18" x14ac:dyDescent="0.25">
      <c r="A37" s="10"/>
      <c r="B37" s="45"/>
      <c r="C37" s="46"/>
      <c r="D37" s="47"/>
      <c r="E37" s="48"/>
      <c r="F37" s="2">
        <f t="shared" si="1"/>
        <v>0</v>
      </c>
      <c r="G37" s="10"/>
      <c r="H37" s="22"/>
    </row>
    <row r="38" spans="1:8" ht="18" x14ac:dyDescent="0.25">
      <c r="A38" s="11"/>
      <c r="B38" s="60"/>
      <c r="C38" s="61"/>
      <c r="D38" s="62"/>
      <c r="E38" s="63"/>
      <c r="F38" s="1">
        <f t="shared" si="1"/>
        <v>0</v>
      </c>
      <c r="G38" s="23"/>
      <c r="H38" s="20"/>
    </row>
    <row r="39" spans="1:8" ht="18" x14ac:dyDescent="0.25">
      <c r="A39" s="10"/>
      <c r="B39" s="64"/>
      <c r="C39" s="65"/>
      <c r="D39" s="47"/>
      <c r="E39" s="48"/>
      <c r="F39" s="2">
        <f t="shared" si="1"/>
        <v>0</v>
      </c>
      <c r="G39" s="10"/>
      <c r="H39" s="22"/>
    </row>
    <row r="40" spans="1:8" ht="18" x14ac:dyDescent="0.25">
      <c r="A40" s="16"/>
      <c r="B40" s="60"/>
      <c r="C40" s="61"/>
      <c r="D40" s="62"/>
      <c r="E40" s="63"/>
      <c r="F40" s="1">
        <f t="shared" si="1"/>
        <v>0</v>
      </c>
      <c r="G40" s="23"/>
      <c r="H40" s="19"/>
    </row>
    <row r="41" spans="1:8" ht="18" x14ac:dyDescent="0.25">
      <c r="A41" s="15"/>
      <c r="B41" s="45"/>
      <c r="C41" s="46"/>
      <c r="D41" s="47"/>
      <c r="E41" s="48"/>
      <c r="F41" s="2">
        <f t="shared" si="1"/>
        <v>0</v>
      </c>
      <c r="G41" s="10"/>
      <c r="H41" s="21"/>
    </row>
    <row r="42" spans="1:8" ht="15.75" thickBot="1" x14ac:dyDescent="0.3">
      <c r="A42" s="69"/>
      <c r="B42" s="70"/>
      <c r="C42" s="70"/>
      <c r="D42" s="70"/>
      <c r="E42" s="70"/>
      <c r="F42" s="70"/>
      <c r="G42" s="70"/>
      <c r="H42" s="70"/>
    </row>
    <row r="43" spans="1:8" ht="29.25" thickBot="1" x14ac:dyDescent="0.3">
      <c r="A43" s="71" t="s">
        <v>5</v>
      </c>
      <c r="B43" s="72"/>
      <c r="C43" s="72"/>
      <c r="D43" s="73">
        <f>SUM(D20:E41)</f>
        <v>15</v>
      </c>
      <c r="E43" s="73"/>
      <c r="F43" s="9">
        <f>SUM(F20:F41)</f>
        <v>1650</v>
      </c>
      <c r="G43" s="24" t="s">
        <v>12</v>
      </c>
      <c r="H43" s="31">
        <f>+SUM(H20:H41)</f>
        <v>1650</v>
      </c>
    </row>
    <row r="44" spans="1:8" ht="15.75" x14ac:dyDescent="0.25">
      <c r="A44" s="74" t="s">
        <v>7</v>
      </c>
      <c r="B44" s="75"/>
      <c r="C44" s="75"/>
      <c r="D44" s="80">
        <f>+MAX(D20:E41)</f>
        <v>6</v>
      </c>
      <c r="E44" s="80"/>
      <c r="F44" s="3">
        <f>+MAX(F20:F41)</f>
        <v>660</v>
      </c>
      <c r="G44" s="66"/>
      <c r="H44" s="32">
        <f>+MAX(H20:H41)</f>
        <v>1100</v>
      </c>
    </row>
    <row r="45" spans="1:8" ht="15.75" x14ac:dyDescent="0.25">
      <c r="A45" s="76" t="s">
        <v>8</v>
      </c>
      <c r="B45" s="77"/>
      <c r="C45" s="77"/>
      <c r="D45" s="81">
        <f>+MIN(D20:E41)</f>
        <v>4</v>
      </c>
      <c r="E45" s="81"/>
      <c r="F45" s="4">
        <f>+MIN(F20:F41)</f>
        <v>0</v>
      </c>
      <c r="G45" s="67"/>
      <c r="H45" s="33">
        <f>+MIN(H20:H41)</f>
        <v>550</v>
      </c>
    </row>
    <row r="46" spans="1:8" ht="16.5" thickBot="1" x14ac:dyDescent="0.3">
      <c r="A46" s="78" t="s">
        <v>9</v>
      </c>
      <c r="B46" s="79"/>
      <c r="C46" s="79"/>
      <c r="D46" s="82">
        <f>+AVERAGE(D20:E41)</f>
        <v>5</v>
      </c>
      <c r="E46" s="82"/>
      <c r="F46" s="8">
        <f>+AVERAGE(F20:F41)</f>
        <v>75</v>
      </c>
      <c r="G46" s="68"/>
      <c r="H46" s="34">
        <f>+AVERAGE(H20:H41)</f>
        <v>825</v>
      </c>
    </row>
  </sheetData>
  <mergeCells count="59">
    <mergeCell ref="G44:G46"/>
    <mergeCell ref="A42:H42"/>
    <mergeCell ref="A43:C43"/>
    <mergeCell ref="D43:E43"/>
    <mergeCell ref="A44:C44"/>
    <mergeCell ref="A45:C45"/>
    <mergeCell ref="A46:C46"/>
    <mergeCell ref="D44:E44"/>
    <mergeCell ref="D45:E45"/>
    <mergeCell ref="D46:E46"/>
    <mergeCell ref="B41:C41"/>
    <mergeCell ref="D41:E41"/>
    <mergeCell ref="B25:C25"/>
    <mergeCell ref="D25:E25"/>
    <mergeCell ref="B26:C26"/>
    <mergeCell ref="D26:E26"/>
    <mergeCell ref="B27:C27"/>
    <mergeCell ref="D27:E27"/>
    <mergeCell ref="B28:C28"/>
    <mergeCell ref="D28:E28"/>
    <mergeCell ref="B38:C38"/>
    <mergeCell ref="D38:E38"/>
    <mergeCell ref="B39:C39"/>
    <mergeCell ref="D39:E39"/>
    <mergeCell ref="B40:C40"/>
    <mergeCell ref="D40:E40"/>
    <mergeCell ref="B37:C37"/>
    <mergeCell ref="D37:E37"/>
    <mergeCell ref="B33:C33"/>
    <mergeCell ref="D33:E33"/>
    <mergeCell ref="B34:C34"/>
    <mergeCell ref="D34:E34"/>
    <mergeCell ref="B35:C35"/>
    <mergeCell ref="D35:E35"/>
    <mergeCell ref="B31:C31"/>
    <mergeCell ref="D31:E31"/>
    <mergeCell ref="B32:C32"/>
    <mergeCell ref="D32:E32"/>
    <mergeCell ref="B36:C36"/>
    <mergeCell ref="D36:E36"/>
    <mergeCell ref="B30:C30"/>
    <mergeCell ref="D30:E30"/>
    <mergeCell ref="B19:C19"/>
    <mergeCell ref="D19:E19"/>
    <mergeCell ref="B20:C20"/>
    <mergeCell ref="B21:C21"/>
    <mergeCell ref="B22:C22"/>
    <mergeCell ref="B23:C23"/>
    <mergeCell ref="B24:C24"/>
    <mergeCell ref="D20:E20"/>
    <mergeCell ref="D21:E21"/>
    <mergeCell ref="D22:E22"/>
    <mergeCell ref="D23:E23"/>
    <mergeCell ref="D24:E24"/>
    <mergeCell ref="H21:H22"/>
    <mergeCell ref="A21:A22"/>
    <mergeCell ref="A16:H16"/>
    <mergeCell ref="B29:C29"/>
    <mergeCell ref="D29:E29"/>
  </mergeCells>
  <pageMargins left="0.70866141732283472" right="0.70866141732283472" top="0.39370078740157483" bottom="0.74803149606299213" header="0.31496062992125984" footer="0.31496062992125984"/>
  <pageSetup paperSize="9" scale="54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2026-07-25T11:22:57Z</dcterms:modified>
</cp:coreProperties>
</file>