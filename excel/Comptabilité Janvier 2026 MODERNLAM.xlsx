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2064A79-DA40-4DB2-B9BD-DBE15D18A4DF}" xr6:coauthVersionLast="47" xr6:coauthVersionMax="47" xr10:uidLastSave="{00000000-0000-0000-0000-000000000000}"/>
  <bookViews>
    <workbookView xWindow="-120" yWindow="-120" windowWidth="29040" windowHeight="15840" tabRatio="557" xr2:uid="{00000000-000D-0000-FFFF-FFFF00000000}"/>
  </bookViews>
  <sheets>
    <sheet name="CLOTURATION CAISSE" sheetId="1" r:id="rId1"/>
    <sheet name="CAISSE-COFFRE" sheetId="2" r:id="rId2"/>
    <sheet name="FOURNISSEURS" sheetId="3" r:id="rId3"/>
    <sheet name="SOUS-TRAITANTS &amp; CONVENTIONS" sheetId="4" r:id="rId4"/>
    <sheet name="PRESENCE" sheetId="5" r:id="rId5"/>
    <sheet name="RAPPORT DE SALAIRE" sheetId="6" r:id="rId6"/>
    <sheet name="Feuil1" sheetId="7" state="hidden" r:id="rId7"/>
  </sheets>
  <calcPr calcId="181029"/>
</workbook>
</file>

<file path=xl/calcChain.xml><?xml version="1.0" encoding="utf-8"?>
<calcChain xmlns="http://schemas.openxmlformats.org/spreadsheetml/2006/main">
  <c r="G37" i="2" l="1"/>
  <c r="H37" i="2"/>
  <c r="L54" i="2" l="1"/>
  <c r="Q85" i="2"/>
  <c r="C37" i="2"/>
  <c r="K13" i="2" s="1"/>
  <c r="B29" i="4"/>
  <c r="B50" i="3" l="1"/>
  <c r="D25" i="3" l="1"/>
  <c r="G29" i="4" l="1"/>
  <c r="C29" i="4"/>
  <c r="F29" i="4" l="1"/>
  <c r="H29" i="4"/>
  <c r="D6" i="3" l="1"/>
  <c r="D16" i="3" l="1"/>
  <c r="D40" i="2" l="1"/>
  <c r="E40" i="2"/>
  <c r="F40" i="2"/>
  <c r="H40" i="2"/>
  <c r="B40" i="2"/>
  <c r="D39" i="2"/>
  <c r="E39" i="2"/>
  <c r="F39" i="2"/>
  <c r="H39" i="2"/>
  <c r="B39" i="2"/>
  <c r="B38" i="2"/>
  <c r="D38" i="2"/>
  <c r="E38" i="2"/>
  <c r="F38" i="2"/>
  <c r="H38" i="2"/>
  <c r="I5" i="2"/>
  <c r="I40" i="2" s="1"/>
  <c r="L38" i="2"/>
  <c r="D31" i="3"/>
  <c r="K21" i="2" l="1"/>
  <c r="I39" i="2"/>
  <c r="I38" i="2"/>
  <c r="D32" i="3"/>
  <c r="D34" i="3" l="1"/>
  <c r="D28" i="3" l="1"/>
  <c r="P19" i="6" l="1"/>
  <c r="D24" i="3" l="1"/>
  <c r="D7" i="3" l="1"/>
  <c r="D9" i="3" l="1"/>
  <c r="D27" i="3"/>
  <c r="D33" i="3" l="1"/>
  <c r="B37" i="2" l="1"/>
  <c r="D23" i="3" l="1"/>
  <c r="D26" i="3" l="1"/>
  <c r="D15" i="3"/>
  <c r="D29" i="3" l="1"/>
  <c r="D10" i="3" l="1"/>
  <c r="D30" i="3" l="1"/>
  <c r="D11" i="3" l="1"/>
  <c r="D12" i="3" l="1"/>
  <c r="D8" i="3" l="1"/>
  <c r="P5" i="6" l="1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20" i="6"/>
  <c r="P21" i="6"/>
  <c r="P22" i="6"/>
  <c r="P23" i="6"/>
  <c r="P24" i="6"/>
  <c r="P25" i="6"/>
  <c r="P26" i="6"/>
  <c r="P27" i="6"/>
  <c r="P4" i="6"/>
  <c r="D2" i="3" l="1"/>
  <c r="D4" i="3"/>
  <c r="J45" i="1" l="1"/>
  <c r="C14" i="1" l="1"/>
  <c r="D3" i="3" l="1"/>
  <c r="D5" i="3"/>
  <c r="D13" i="3"/>
  <c r="D14" i="3"/>
  <c r="D17" i="3"/>
  <c r="D18" i="3"/>
  <c r="D19" i="3"/>
  <c r="D20" i="3"/>
  <c r="D21" i="3"/>
  <c r="D22" i="3"/>
  <c r="D35" i="3"/>
  <c r="D36" i="3"/>
  <c r="D37" i="3"/>
  <c r="D38" i="3"/>
  <c r="C40" i="3" l="1"/>
  <c r="B52" i="3" l="1"/>
  <c r="G21" i="4" l="1"/>
  <c r="C21" i="4"/>
  <c r="K5" i="2" s="1"/>
  <c r="B21" i="4"/>
  <c r="B51" i="3" s="1"/>
  <c r="B40" i="3"/>
  <c r="F37" i="2"/>
  <c r="E37" i="2"/>
  <c r="B44" i="3" s="1"/>
  <c r="D37" i="2"/>
  <c r="K9" i="2" l="1"/>
  <c r="K17" i="2"/>
  <c r="F21" i="4"/>
  <c r="B46" i="3"/>
  <c r="Q28" i="6"/>
  <c r="I37" i="2"/>
  <c r="H21" i="4"/>
  <c r="K25" i="2" l="1"/>
  <c r="B49" i="3"/>
  <c r="B53" i="3" s="1"/>
  <c r="B55" i="3" l="1"/>
  <c r="B56" i="3" s="1"/>
  <c r="D40" i="3" l="1"/>
</calcChain>
</file>

<file path=xl/sharedStrings.xml><?xml version="1.0" encoding="utf-8"?>
<sst xmlns="http://schemas.openxmlformats.org/spreadsheetml/2006/main" count="218" uniqueCount="120">
  <si>
    <t>DIFFERENCES</t>
  </si>
  <si>
    <t>DATE</t>
  </si>
  <si>
    <t>Montant</t>
  </si>
  <si>
    <t>Date</t>
  </si>
  <si>
    <t xml:space="preserve">Utilisateur </t>
  </si>
  <si>
    <t>Montant Virtuelle</t>
  </si>
  <si>
    <t xml:space="preserve">Différence </t>
  </si>
  <si>
    <t>Net</t>
  </si>
  <si>
    <t>Remarques</t>
  </si>
  <si>
    <t>Total</t>
  </si>
  <si>
    <t>MOUVEMENT CAISSE</t>
  </si>
  <si>
    <t>MOUVEMENT COFFRE</t>
  </si>
  <si>
    <t>TPE</t>
  </si>
  <si>
    <t>Dépenses</t>
  </si>
  <si>
    <t>Remboursement</t>
  </si>
  <si>
    <t>Sous-Traitants</t>
  </si>
  <si>
    <t>Coffre Net Réel</t>
  </si>
  <si>
    <t>SORTIES COFFRE</t>
  </si>
  <si>
    <t xml:space="preserve">Date </t>
  </si>
  <si>
    <t>Désignation</t>
  </si>
  <si>
    <t>Chiffre d'affaire LAM</t>
  </si>
  <si>
    <t>Chiffre d'affaire ST</t>
  </si>
  <si>
    <t>Détail</t>
  </si>
  <si>
    <t xml:space="preserve">TOTAL </t>
  </si>
  <si>
    <t xml:space="preserve"> </t>
  </si>
  <si>
    <t>TOTAL</t>
  </si>
  <si>
    <t>FOURNISSEUR LAM</t>
  </si>
  <si>
    <t xml:space="preserve">TOTAL DES COMMANDES </t>
  </si>
  <si>
    <t xml:space="preserve">PAYER </t>
  </si>
  <si>
    <t xml:space="preserve">RESTE </t>
  </si>
  <si>
    <t xml:space="preserve">                                        </t>
  </si>
  <si>
    <t>PAIE ESTIMATION</t>
  </si>
  <si>
    <t>DEPENSES INTERNE</t>
  </si>
  <si>
    <t>FOURNISSEURS + DEPENCES + PAIE</t>
  </si>
  <si>
    <t>CA LAM</t>
  </si>
  <si>
    <t>CA ST</t>
  </si>
  <si>
    <t xml:space="preserve">Chiffre d'Affaire </t>
  </si>
  <si>
    <t>Profitabilité (CA+ST)-(FR+DEP+ PAIE)</t>
  </si>
  <si>
    <t>SOUS-TRAITANTS</t>
  </si>
  <si>
    <t>MONTANT</t>
  </si>
  <si>
    <t>VERSEMENT</t>
  </si>
  <si>
    <t>DATE DE RECEPTION</t>
  </si>
  <si>
    <t>MODE PAIEMENT</t>
  </si>
  <si>
    <t>RESTE</t>
  </si>
  <si>
    <t>RESTE MOIS PRECEDANTS</t>
  </si>
  <si>
    <t>RESTE TOTAL</t>
  </si>
  <si>
    <t>REMARQUES</t>
  </si>
  <si>
    <t>P</t>
  </si>
  <si>
    <t>PRESENT(E)</t>
  </si>
  <si>
    <t>REC</t>
  </si>
  <si>
    <t>RECUPERATION</t>
  </si>
  <si>
    <t>P+</t>
  </si>
  <si>
    <t>PRESENCE EN + / HS</t>
  </si>
  <si>
    <t>Non Considéré</t>
  </si>
  <si>
    <t>G</t>
  </si>
  <si>
    <t>GARDE NUIT</t>
  </si>
  <si>
    <t>GV-J</t>
  </si>
  <si>
    <t>GARDE VENDREDI - JOUR</t>
  </si>
  <si>
    <t>C.M</t>
  </si>
  <si>
    <t>Conger Maladie</t>
  </si>
  <si>
    <t>ABS</t>
  </si>
  <si>
    <t>ABSENCE</t>
  </si>
  <si>
    <t>GV-N</t>
  </si>
  <si>
    <t>GARDE VENDREDI - NUIT</t>
  </si>
  <si>
    <t>C</t>
  </si>
  <si>
    <t>Conger</t>
  </si>
  <si>
    <t>N°</t>
  </si>
  <si>
    <t>Employer</t>
  </si>
  <si>
    <t>JOUR</t>
  </si>
  <si>
    <t>GARDE</t>
  </si>
  <si>
    <t>2 000,00</t>
  </si>
  <si>
    <t>1 500,00</t>
  </si>
  <si>
    <t>2 500,00</t>
  </si>
  <si>
    <t>Personne</t>
  </si>
  <si>
    <t>Poste</t>
  </si>
  <si>
    <t>Salaire</t>
  </si>
  <si>
    <t>Salaire Net</t>
  </si>
  <si>
    <t>REMARQUE</t>
  </si>
  <si>
    <t>ENTREES SUPP</t>
  </si>
  <si>
    <t>Etats</t>
  </si>
  <si>
    <t>% Profitabilité / Chiffre d'Affaire</t>
  </si>
  <si>
    <t>DESIGNATION</t>
  </si>
  <si>
    <t>Min (-Ven)</t>
  </si>
  <si>
    <t>Max (-Ven)</t>
  </si>
  <si>
    <t>MOYENNE (-Ven)</t>
  </si>
  <si>
    <t>Lundi</t>
  </si>
  <si>
    <t>Mardi</t>
  </si>
  <si>
    <t>Mercredi</t>
  </si>
  <si>
    <t>Jeudi</t>
  </si>
  <si>
    <t>Vendredi</t>
  </si>
  <si>
    <t>Samedi</t>
  </si>
  <si>
    <t>Dimanche</t>
  </si>
  <si>
    <t>DÉPENCES CAISSE</t>
  </si>
  <si>
    <t>ETAT DIFFERENCES</t>
  </si>
  <si>
    <t>Montant Total</t>
  </si>
  <si>
    <t>,</t>
  </si>
  <si>
    <t>Présence en + / HS</t>
  </si>
  <si>
    <t>Déplacement LAM</t>
  </si>
  <si>
    <t>Garde Nuit</t>
  </si>
  <si>
    <t>Garde Vendredi - Jour</t>
  </si>
  <si>
    <t>Garde Vendredi - Nuit</t>
  </si>
  <si>
    <t>Absence</t>
  </si>
  <si>
    <t>Prime</t>
  </si>
  <si>
    <t>Congé</t>
  </si>
  <si>
    <t>Pénalités</t>
  </si>
  <si>
    <t>Avances</t>
  </si>
  <si>
    <t>MOUVEMENT PROFITABILITÉ</t>
  </si>
  <si>
    <t>DÉTAIL</t>
  </si>
  <si>
    <t>Montant Réel</t>
  </si>
  <si>
    <t>Nouvel An 2026</t>
  </si>
  <si>
    <t>Yennayer</t>
  </si>
  <si>
    <t>CONVENTION</t>
  </si>
  <si>
    <t>Caisse CV</t>
  </si>
  <si>
    <t>Caisse C</t>
  </si>
  <si>
    <t>Chiffre d'affaire Convention</t>
  </si>
  <si>
    <t>Chiffre D'affaire Globale</t>
  </si>
  <si>
    <t>CA C</t>
  </si>
  <si>
    <t>Chiffre d'Affaire Entrées Supplumentaires</t>
  </si>
  <si>
    <t>ENTRÉES SUPPLUMENTAIRES</t>
  </si>
  <si>
    <t>Convention Mutuelle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</si>
</sst>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_-* #,##0.00\ _€_-;\-* #,##0.00\ _€_-;_-* &quot;-&quot;??\ _€_-;_-@_-"/>
    <numFmt numFmtId="165" formatCode="_-* #,##0.00\ _D_A_-;\-* #,##0.00\ _D_A_-;_-* &quot;-&quot;??\ _D_A_-;_-@"/>
    <numFmt numFmtId="166" formatCode="d/m/yyyy"/>
    <numFmt numFmtId="167" formatCode="d/m"/>
    <numFmt numFmtId="168" formatCode="_(* #,##0.00_)\ _);\-\ #,##0.00\ _);_(* &quot;-&quot;??_)\ _);_(@"/>
    <numFmt numFmtId="169" formatCode="_-* #,##0.00\ _€_-;\-* #,##0.00\ _€_-;_-* &quot;-&quot;??\ _€_-;_-@"/>
    <numFmt numFmtId="170" formatCode="d/m;@"/>
    <numFmt numFmtId="171" formatCode="[$-40C]d\-mmm;@"/>
    <numFmt numFmtId="172" formatCode="[$-F800]dddd\,\ mmmm\ dd\,\ yyyy"/>
    <numFmt numFmtId="173" formatCode="[$-40C]d\-mmm"/>
  </numFmts>
  <fonts count="5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006100"/>
      <name val="Calibri"/>
      <family val="2"/>
    </font>
    <font>
      <b/>
      <sz val="16"/>
      <color rgb="FF9C0006"/>
      <name val="Calibri"/>
      <family val="2"/>
    </font>
    <font>
      <b/>
      <i/>
      <sz val="20"/>
      <color theme="1"/>
      <name val="Calibri"/>
      <family val="2"/>
    </font>
    <font>
      <sz val="10"/>
      <color theme="1"/>
      <name val="Calibri"/>
      <family val="2"/>
    </font>
    <font>
      <b/>
      <sz val="14"/>
      <color rgb="FFFF0000"/>
      <name val="Calibri"/>
      <family val="2"/>
    </font>
    <font>
      <b/>
      <i/>
      <sz val="16"/>
      <color theme="1"/>
      <name val="Calibri"/>
      <family val="2"/>
    </font>
    <font>
      <sz val="16"/>
      <color theme="1"/>
      <name val="Calibri"/>
      <family val="2"/>
    </font>
    <font>
      <sz val="16"/>
      <color rgb="FF9C0006"/>
      <name val="Calibri"/>
      <family val="2"/>
    </font>
    <font>
      <b/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6"/>
      <color rgb="FFFF0000"/>
      <name val="Calibri"/>
      <family val="2"/>
    </font>
    <font>
      <sz val="16"/>
      <color rgb="FFFF0000"/>
      <name val="Calibri"/>
      <family val="2"/>
    </font>
    <font>
      <sz val="15"/>
      <color theme="1"/>
      <name val="Calibri"/>
      <family val="2"/>
    </font>
    <font>
      <b/>
      <sz val="16"/>
      <color rgb="FF00B050"/>
      <name val="Calibri"/>
      <family val="2"/>
    </font>
    <font>
      <b/>
      <sz val="20"/>
      <color rgb="FF006100"/>
      <name val="Calibri"/>
      <family val="2"/>
    </font>
    <font>
      <b/>
      <sz val="16"/>
      <color rgb="FF000000"/>
      <name val="Calibri"/>
      <family val="2"/>
    </font>
    <font>
      <b/>
      <sz val="20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sz val="16"/>
      <color rgb="FF000000"/>
      <name val="Calibri"/>
      <family val="2"/>
    </font>
    <font>
      <b/>
      <sz val="20"/>
      <color rgb="FF000000"/>
      <name val="Calibri"/>
      <family val="2"/>
    </font>
    <font>
      <b/>
      <i/>
      <sz val="24"/>
      <color rgb="FF274E13"/>
      <name val="Calibri"/>
      <family val="2"/>
    </font>
    <font>
      <sz val="12"/>
      <name val="Calibri"/>
      <family val="2"/>
    </font>
    <font>
      <sz val="14"/>
      <color theme="1"/>
      <name val="Calibri"/>
      <family val="2"/>
      <scheme val="minor"/>
    </font>
    <font>
      <sz val="14"/>
      <name val="Calibri"/>
      <family val="2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</font>
    <font>
      <sz val="12"/>
      <color rgb="FF000000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8"/>
      <color theme="1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F46524"/>
        <bgColor rgb="FFF46524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FE6DD"/>
        <bgColor rgb="FFFFE6DD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38761D"/>
        <bgColor rgb="FF38761D"/>
      </patternFill>
    </fill>
    <fill>
      <patternFill patternType="solid">
        <fgColor theme="9"/>
        <bgColor theme="9"/>
      </patternFill>
    </fill>
    <fill>
      <patternFill patternType="solid">
        <fgColor rgb="FF5B95F9"/>
        <bgColor rgb="FF5B95F9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78909C"/>
        <bgColor rgb="FF78909C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E06666"/>
        <bgColor rgb="FFE06666"/>
      </patternFill>
    </fill>
    <fill>
      <patternFill patternType="solid">
        <fgColor rgb="FFFFC7CE"/>
        <bgColor rgb="FFFFC7CE"/>
      </patternFill>
    </fill>
    <fill>
      <patternFill patternType="solid">
        <fgColor rgb="FF92D050"/>
        <bgColor rgb="FF92D050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6EFCE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00B0F0"/>
        <bgColor rgb="FF00B0F0"/>
      </patternFill>
    </fill>
    <fill>
      <patternFill patternType="solid">
        <fgColor rgb="FFF9DEDD"/>
        <bgColor rgb="FFF9DEDD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0B5394"/>
        <bgColor rgb="FF0B5394"/>
      </patternFill>
    </fill>
    <fill>
      <patternFill patternType="solid">
        <fgColor rgb="FF7030A0"/>
        <bgColor rgb="FF7030A0"/>
      </patternFill>
    </fill>
    <fill>
      <patternFill patternType="solid">
        <fgColor rgb="FF92CDDC"/>
        <bgColor rgb="FF92CDDC"/>
      </patternFill>
    </fill>
    <fill>
      <patternFill patternType="solid">
        <fgColor rgb="FF6699FF"/>
        <bgColor rgb="FF6699FF"/>
      </patternFill>
    </fill>
    <fill>
      <patternFill patternType="solid">
        <fgColor rgb="FFF4CCCC"/>
        <bgColor rgb="FFF4CCCC"/>
      </patternFill>
    </fill>
    <fill>
      <patternFill patternType="solid">
        <fgColor rgb="FF4DD0E1"/>
        <bgColor rgb="FF28A6B6"/>
      </patternFill>
    </fill>
    <fill>
      <patternFill patternType="solid">
        <fgColor rgb="FF4DD0E1"/>
        <bgColor indexed="64"/>
      </patternFill>
    </fill>
    <fill>
      <patternFill patternType="solid">
        <fgColor rgb="FFF04E06"/>
        <bgColor rgb="FFF46524"/>
      </patternFill>
    </fill>
    <fill>
      <patternFill patternType="solid">
        <fgColor rgb="FFF04E0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rgb="FF4DD0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rgb="FFF46524"/>
      </patternFill>
    </fill>
    <fill>
      <patternFill patternType="solid">
        <fgColor theme="6" tint="0.79998168889431442"/>
        <bgColor rgb="FFFFE6DD"/>
      </patternFill>
    </fill>
    <fill>
      <patternFill patternType="solid">
        <fgColor rgb="FFFFC000"/>
        <bgColor rgb="FF78909C"/>
      </patternFill>
    </fill>
    <fill>
      <patternFill patternType="solid">
        <fgColor theme="6" tint="-0.249977111117893"/>
        <bgColor rgb="FFF46524"/>
      </patternFill>
    </fill>
    <fill>
      <patternFill patternType="solid">
        <fgColor theme="6" tint="0.59999389629810485"/>
        <bgColor rgb="FF8BC34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rgb="FF78909C"/>
      </patternFill>
    </fill>
    <fill>
      <patternFill patternType="solid">
        <fgColor theme="8" tint="0.59999389629810485"/>
        <bgColor indexed="64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FFFF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0" fillId="0" borderId="0" applyFont="0" applyFill="0" applyBorder="0" applyAlignment="0" applyProtection="0"/>
  </cellStyleXfs>
  <cellXfs count="529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/>
    <xf numFmtId="165" fontId="5" fillId="0" borderId="0" xfId="0" applyNumberFormat="1" applyFont="1"/>
    <xf numFmtId="166" fontId="6" fillId="3" borderId="7" xfId="0" applyNumberFormat="1" applyFont="1" applyFill="1" applyBorder="1" applyAlignment="1">
      <alignment vertical="center"/>
    </xf>
    <xf numFmtId="165" fontId="6" fillId="3" borderId="8" xfId="0" applyNumberFormat="1" applyFont="1" applyFill="1" applyBorder="1"/>
    <xf numFmtId="0" fontId="6" fillId="3" borderId="8" xfId="0" applyFont="1" applyFill="1" applyBorder="1"/>
    <xf numFmtId="0" fontId="6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16" fontId="5" fillId="0" borderId="0" xfId="0" applyNumberFormat="1" applyFont="1"/>
    <xf numFmtId="0" fontId="5" fillId="0" borderId="0" xfId="0" applyFont="1" applyAlignment="1">
      <alignment horizontal="left" vertical="top"/>
    </xf>
    <xf numFmtId="165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169" fontId="5" fillId="0" borderId="0" xfId="0" applyNumberFormat="1" applyFont="1"/>
    <xf numFmtId="165" fontId="5" fillId="0" borderId="0" xfId="0" applyNumberFormat="1" applyFont="1" applyAlignment="1">
      <alignment horizontal="center"/>
    </xf>
    <xf numFmtId="16" fontId="10" fillId="0" borderId="23" xfId="0" applyNumberFormat="1" applyFont="1" applyBorder="1" applyAlignment="1">
      <alignment vertical="center"/>
    </xf>
    <xf numFmtId="168" fontId="10" fillId="0" borderId="13" xfId="0" applyNumberFormat="1" applyFont="1" applyBorder="1" applyAlignment="1">
      <alignment vertical="center"/>
    </xf>
    <xf numFmtId="165" fontId="15" fillId="0" borderId="0" xfId="0" applyNumberFormat="1" applyFont="1" applyAlignment="1">
      <alignment vertical="top"/>
    </xf>
    <xf numFmtId="165" fontId="6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8" fontId="10" fillId="0" borderId="20" xfId="0" applyNumberFormat="1" applyFont="1" applyBorder="1" applyAlignment="1">
      <alignment vertical="center"/>
    </xf>
    <xf numFmtId="165" fontId="19" fillId="20" borderId="13" xfId="0" applyNumberFormat="1" applyFont="1" applyFill="1" applyBorder="1" applyAlignment="1">
      <alignment horizontal="center" vertical="center"/>
    </xf>
    <xf numFmtId="165" fontId="18" fillId="21" borderId="13" xfId="0" applyNumberFormat="1" applyFont="1" applyFill="1" applyBorder="1" applyAlignment="1">
      <alignment horizontal="center" vertical="center"/>
    </xf>
    <xf numFmtId="165" fontId="18" fillId="23" borderId="48" xfId="0" applyNumberFormat="1" applyFont="1" applyFill="1" applyBorder="1" applyAlignment="1">
      <alignment horizontal="center" vertical="center"/>
    </xf>
    <xf numFmtId="16" fontId="9" fillId="0" borderId="0" xfId="0" applyNumberFormat="1" applyFont="1" applyAlignment="1">
      <alignment horizontal="left"/>
    </xf>
    <xf numFmtId="165" fontId="9" fillId="0" borderId="0" xfId="0" applyNumberFormat="1" applyFont="1"/>
    <xf numFmtId="165" fontId="20" fillId="0" borderId="0" xfId="0" applyNumberFormat="1" applyFont="1" applyAlignment="1">
      <alignment vertical="center"/>
    </xf>
    <xf numFmtId="165" fontId="4" fillId="0" borderId="0" xfId="0" applyNumberFormat="1" applyFont="1"/>
    <xf numFmtId="0" fontId="9" fillId="0" borderId="0" xfId="0" applyFont="1" applyAlignment="1">
      <alignment horizontal="left"/>
    </xf>
    <xf numFmtId="165" fontId="10" fillId="0" borderId="0" xfId="0" applyNumberFormat="1" applyFont="1"/>
    <xf numFmtId="165" fontId="9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0" fontId="10" fillId="0" borderId="13" xfId="0" applyFont="1" applyBorder="1" applyAlignment="1">
      <alignment vertical="center"/>
    </xf>
    <xf numFmtId="4" fontId="10" fillId="0" borderId="13" xfId="0" applyNumberFormat="1" applyFont="1" applyBorder="1" applyAlignment="1">
      <alignment vertical="center"/>
    </xf>
    <xf numFmtId="0" fontId="5" fillId="13" borderId="51" xfId="0" applyFont="1" applyFill="1" applyBorder="1"/>
    <xf numFmtId="165" fontId="5" fillId="13" borderId="51" xfId="0" applyNumberFormat="1" applyFont="1" applyFill="1" applyBorder="1"/>
    <xf numFmtId="0" fontId="11" fillId="0" borderId="52" xfId="0" applyFont="1" applyBorder="1" applyAlignment="1">
      <alignment vertical="center"/>
    </xf>
    <xf numFmtId="165" fontId="18" fillId="0" borderId="53" xfId="0" applyNumberFormat="1" applyFont="1" applyBorder="1" applyAlignment="1">
      <alignment vertical="center"/>
    </xf>
    <xf numFmtId="165" fontId="18" fillId="0" borderId="54" xfId="0" applyNumberFormat="1" applyFont="1" applyBorder="1" applyAlignment="1">
      <alignment vertical="center"/>
    </xf>
    <xf numFmtId="169" fontId="18" fillId="0" borderId="0" xfId="0" applyNumberFormat="1" applyFont="1" applyAlignment="1">
      <alignment vertical="center"/>
    </xf>
    <xf numFmtId="0" fontId="11" fillId="0" borderId="19" xfId="0" applyFont="1" applyBorder="1" applyAlignment="1">
      <alignment vertical="center"/>
    </xf>
    <xf numFmtId="165" fontId="18" fillId="0" borderId="55" xfId="0" applyNumberFormat="1" applyFont="1" applyBorder="1" applyAlignment="1">
      <alignment vertical="center"/>
    </xf>
    <xf numFmtId="165" fontId="18" fillId="0" borderId="54" xfId="0" applyNumberFormat="1" applyFont="1" applyBorder="1" applyAlignment="1">
      <alignment horizontal="center" vertical="center"/>
    </xf>
    <xf numFmtId="0" fontId="5" fillId="13" borderId="56" xfId="0" applyFont="1" applyFill="1" applyBorder="1"/>
    <xf numFmtId="165" fontId="5" fillId="13" borderId="56" xfId="0" applyNumberFormat="1" applyFont="1" applyFill="1" applyBorder="1"/>
    <xf numFmtId="0" fontId="1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9" fontId="18" fillId="0" borderId="0" xfId="0" applyNumberFormat="1" applyFont="1" applyAlignment="1">
      <alignment horizontal="center" vertical="center"/>
    </xf>
    <xf numFmtId="169" fontId="23" fillId="0" borderId="0" xfId="0" applyNumberFormat="1" applyFont="1" applyAlignment="1">
      <alignment vertical="center"/>
    </xf>
    <xf numFmtId="0" fontId="24" fillId="0" borderId="0" xfId="0" applyFont="1"/>
    <xf numFmtId="0" fontId="20" fillId="0" borderId="0" xfId="0" applyFont="1"/>
    <xf numFmtId="169" fontId="20" fillId="0" borderId="0" xfId="0" applyNumberFormat="1" applyFont="1"/>
    <xf numFmtId="0" fontId="11" fillId="0" borderId="30" xfId="0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6" fontId="10" fillId="0" borderId="13" xfId="0" applyNumberFormat="1" applyFont="1" applyBorder="1" applyAlignment="1">
      <alignment vertical="center"/>
    </xf>
    <xf numFmtId="168" fontId="7" fillId="0" borderId="13" xfId="0" applyNumberFormat="1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23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4" fontId="10" fillId="0" borderId="20" xfId="0" applyNumberFormat="1" applyFont="1" applyBorder="1" applyAlignment="1">
      <alignment vertical="center"/>
    </xf>
    <xf numFmtId="166" fontId="10" fillId="0" borderId="20" xfId="0" applyNumberFormat="1" applyFont="1" applyBorder="1" applyAlignment="1">
      <alignment vertical="center"/>
    </xf>
    <xf numFmtId="168" fontId="7" fillId="0" borderId="20" xfId="0" applyNumberFormat="1" applyFont="1" applyBorder="1" applyAlignment="1">
      <alignment vertical="center"/>
    </xf>
    <xf numFmtId="0" fontId="28" fillId="2" borderId="52" xfId="0" applyFont="1" applyFill="1" applyBorder="1" applyAlignment="1">
      <alignment horizontal="center" vertical="center"/>
    </xf>
    <xf numFmtId="168" fontId="28" fillId="6" borderId="61" xfId="0" applyNumberFormat="1" applyFont="1" applyFill="1" applyBorder="1" applyAlignment="1">
      <alignment vertical="center"/>
    </xf>
    <xf numFmtId="168" fontId="28" fillId="26" borderId="55" xfId="0" applyNumberFormat="1" applyFont="1" applyFill="1" applyBorder="1" applyAlignment="1">
      <alignment vertical="center"/>
    </xf>
    <xf numFmtId="168" fontId="28" fillId="6" borderId="53" xfId="0" applyNumberFormat="1" applyFont="1" applyFill="1" applyBorder="1" applyAlignment="1">
      <alignment vertical="center"/>
    </xf>
    <xf numFmtId="4" fontId="28" fillId="0" borderId="62" xfId="0" applyNumberFormat="1" applyFont="1" applyBorder="1"/>
    <xf numFmtId="0" fontId="29" fillId="0" borderId="64" xfId="0" applyFont="1" applyBorder="1"/>
    <xf numFmtId="0" fontId="29" fillId="0" borderId="65" xfId="0" applyFont="1" applyBorder="1"/>
    <xf numFmtId="0" fontId="29" fillId="0" borderId="66" xfId="0" applyFont="1" applyBorder="1"/>
    <xf numFmtId="0" fontId="30" fillId="28" borderId="42" xfId="0" applyFont="1" applyFill="1" applyBorder="1" applyAlignment="1">
      <alignment horizontal="center" vertical="center"/>
    </xf>
    <xf numFmtId="0" fontId="30" fillId="24" borderId="18" xfId="0" applyFont="1" applyFill="1" applyBorder="1" applyAlignment="1">
      <alignment horizontal="center" vertical="center"/>
    </xf>
    <xf numFmtId="0" fontId="31" fillId="29" borderId="18" xfId="0" applyFont="1" applyFill="1" applyBorder="1" applyAlignment="1">
      <alignment horizontal="center" vertical="center"/>
    </xf>
    <xf numFmtId="0" fontId="29" fillId="0" borderId="0" xfId="0" applyFont="1"/>
    <xf numFmtId="0" fontId="29" fillId="26" borderId="16" xfId="0" applyFont="1" applyFill="1" applyBorder="1"/>
    <xf numFmtId="0" fontId="29" fillId="0" borderId="70" xfId="0" applyFont="1" applyBorder="1"/>
    <xf numFmtId="0" fontId="29" fillId="0" borderId="71" xfId="0" applyFont="1" applyBorder="1"/>
    <xf numFmtId="0" fontId="29" fillId="0" borderId="72" xfId="0" applyFont="1" applyBorder="1"/>
    <xf numFmtId="0" fontId="30" fillId="21" borderId="42" xfId="0" applyFont="1" applyFill="1" applyBorder="1" applyAlignment="1">
      <alignment horizontal="center" vertical="center"/>
    </xf>
    <xf numFmtId="0" fontId="30" fillId="12" borderId="18" xfId="0" applyFont="1" applyFill="1" applyBorder="1" applyAlignment="1">
      <alignment horizontal="center" vertical="center"/>
    </xf>
    <xf numFmtId="0" fontId="30" fillId="30" borderId="18" xfId="0" applyFont="1" applyFill="1" applyBorder="1" applyAlignment="1">
      <alignment horizontal="center" vertical="center"/>
    </xf>
    <xf numFmtId="0" fontId="30" fillId="31" borderId="42" xfId="0" applyFont="1" applyFill="1" applyBorder="1" applyAlignment="1">
      <alignment horizontal="center" vertical="center"/>
    </xf>
    <xf numFmtId="0" fontId="30" fillId="32" borderId="18" xfId="0" applyFont="1" applyFill="1" applyBorder="1" applyAlignment="1">
      <alignment horizontal="center" vertical="center"/>
    </xf>
    <xf numFmtId="0" fontId="30" fillId="33" borderId="18" xfId="0" applyFont="1" applyFill="1" applyBorder="1" applyAlignment="1">
      <alignment horizontal="center" vertical="center"/>
    </xf>
    <xf numFmtId="0" fontId="29" fillId="0" borderId="79" xfId="0" applyFont="1" applyBorder="1"/>
    <xf numFmtId="0" fontId="29" fillId="0" borderId="80" xfId="0" applyFont="1" applyBorder="1"/>
    <xf numFmtId="0" fontId="29" fillId="0" borderId="81" xfId="0" applyFont="1" applyBorder="1"/>
    <xf numFmtId="0" fontId="33" fillId="4" borderId="14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vertical="center"/>
    </xf>
    <xf numFmtId="164" fontId="10" fillId="0" borderId="86" xfId="0" applyNumberFormat="1" applyFont="1" applyBorder="1" applyAlignment="1">
      <alignment horizontal="center" vertical="center"/>
    </xf>
    <xf numFmtId="164" fontId="38" fillId="0" borderId="86" xfId="0" applyNumberFormat="1" applyFont="1" applyBorder="1" applyAlignment="1">
      <alignment vertical="center"/>
    </xf>
    <xf numFmtId="164" fontId="40" fillId="0" borderId="0" xfId="0" applyNumberFormat="1" applyFont="1"/>
    <xf numFmtId="164" fontId="37" fillId="0" borderId="86" xfId="0" applyNumberFormat="1" applyFont="1" applyBorder="1" applyAlignment="1">
      <alignment horizontal="center" vertical="center"/>
    </xf>
    <xf numFmtId="164" fontId="10" fillId="0" borderId="86" xfId="0" applyNumberFormat="1" applyFont="1" applyBorder="1" applyAlignment="1">
      <alignment vertical="center"/>
    </xf>
    <xf numFmtId="0" fontId="21" fillId="18" borderId="42" xfId="0" applyFont="1" applyFill="1" applyBorder="1" applyAlignment="1">
      <alignment horizontal="center" vertical="center"/>
    </xf>
    <xf numFmtId="0" fontId="21" fillId="4" borderId="68" xfId="0" applyFont="1" applyFill="1" applyBorder="1" applyAlignment="1">
      <alignment horizontal="center" vertical="center"/>
    </xf>
    <xf numFmtId="0" fontId="21" fillId="18" borderId="78" xfId="0" applyFont="1" applyFill="1" applyBorder="1" applyAlignment="1">
      <alignment horizontal="center" vertical="center"/>
    </xf>
    <xf numFmtId="0" fontId="21" fillId="4" borderId="28" xfId="0" applyFont="1" applyFill="1" applyBorder="1" applyAlignment="1">
      <alignment horizontal="center" vertical="center"/>
    </xf>
    <xf numFmtId="0" fontId="21" fillId="18" borderId="94" xfId="0" applyFont="1" applyFill="1" applyBorder="1" applyAlignment="1">
      <alignment horizontal="center" vertical="center"/>
    </xf>
    <xf numFmtId="0" fontId="21" fillId="4" borderId="95" xfId="0" applyFont="1" applyFill="1" applyBorder="1" applyAlignment="1">
      <alignment horizontal="center" vertical="center"/>
    </xf>
    <xf numFmtId="0" fontId="21" fillId="18" borderId="93" xfId="0" applyFont="1" applyFill="1" applyBorder="1" applyAlignment="1">
      <alignment horizontal="center" vertical="center"/>
    </xf>
    <xf numFmtId="0" fontId="21" fillId="18" borderId="97" xfId="0" applyFont="1" applyFill="1" applyBorder="1" applyAlignment="1">
      <alignment horizontal="center" vertical="center"/>
    </xf>
    <xf numFmtId="0" fontId="21" fillId="4" borderId="98" xfId="0" applyFont="1" applyFill="1" applyBorder="1" applyAlignment="1">
      <alignment horizontal="center" vertical="center"/>
    </xf>
    <xf numFmtId="0" fontId="3" fillId="0" borderId="56" xfId="0" applyFont="1" applyBorder="1"/>
    <xf numFmtId="0" fontId="0" fillId="0" borderId="56" xfId="0" applyBorder="1"/>
    <xf numFmtId="0" fontId="33" fillId="0" borderId="44" xfId="0" applyFont="1" applyBorder="1" applyAlignment="1">
      <alignment vertical="center"/>
    </xf>
    <xf numFmtId="168" fontId="33" fillId="0" borderId="82" xfId="0" applyNumberFormat="1" applyFont="1" applyBorder="1" applyAlignment="1">
      <alignment horizontal="center" vertical="center"/>
    </xf>
    <xf numFmtId="168" fontId="33" fillId="0" borderId="13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vertical="center"/>
    </xf>
    <xf numFmtId="168" fontId="33" fillId="0" borderId="42" xfId="0" applyNumberFormat="1" applyFont="1" applyBorder="1" applyAlignment="1">
      <alignment horizontal="center" vertical="center"/>
    </xf>
    <xf numFmtId="0" fontId="33" fillId="0" borderId="42" xfId="0" applyFont="1" applyBorder="1" applyAlignment="1">
      <alignment vertical="center"/>
    </xf>
    <xf numFmtId="168" fontId="33" fillId="0" borderId="102" xfId="0" applyNumberFormat="1" applyFont="1" applyBorder="1" applyAlignment="1">
      <alignment horizontal="center" vertical="center"/>
    </xf>
    <xf numFmtId="168" fontId="33" fillId="0" borderId="96" xfId="0" applyNumberFormat="1" applyFont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8" borderId="50" xfId="0" applyFont="1" applyFill="1" applyBorder="1" applyAlignment="1">
      <alignment horizontal="center" vertical="center"/>
    </xf>
    <xf numFmtId="0" fontId="27" fillId="34" borderId="50" xfId="0" applyFont="1" applyFill="1" applyBorder="1" applyAlignment="1">
      <alignment horizontal="center" vertical="center"/>
    </xf>
    <xf numFmtId="168" fontId="41" fillId="0" borderId="13" xfId="0" applyNumberFormat="1" applyFont="1" applyBorder="1" applyAlignment="1">
      <alignment horizontal="center" vertical="center"/>
    </xf>
    <xf numFmtId="168" fontId="43" fillId="0" borderId="13" xfId="0" applyNumberFormat="1" applyFont="1" applyBorder="1" applyAlignment="1">
      <alignment horizontal="center" vertical="center"/>
    </xf>
    <xf numFmtId="168" fontId="43" fillId="0" borderId="42" xfId="0" applyNumberFormat="1" applyFont="1" applyBorder="1" applyAlignment="1">
      <alignment horizontal="center" vertical="center"/>
    </xf>
    <xf numFmtId="168" fontId="43" fillId="0" borderId="102" xfId="0" applyNumberFormat="1" applyFont="1" applyBorder="1" applyAlignment="1">
      <alignment horizontal="center" vertical="center"/>
    </xf>
    <xf numFmtId="164" fontId="44" fillId="0" borderId="0" xfId="0" applyNumberFormat="1" applyFont="1"/>
    <xf numFmtId="164" fontId="45" fillId="0" borderId="86" xfId="0" applyNumberFormat="1" applyFont="1" applyBorder="1" applyAlignment="1">
      <alignment horizontal="center" vertical="center"/>
    </xf>
    <xf numFmtId="165" fontId="46" fillId="3" borderId="8" xfId="0" applyNumberFormat="1" applyFont="1" applyFill="1" applyBorder="1"/>
    <xf numFmtId="0" fontId="48" fillId="0" borderId="0" xfId="0" applyFont="1"/>
    <xf numFmtId="164" fontId="10" fillId="13" borderId="86" xfId="0" applyNumberFormat="1" applyFont="1" applyFill="1" applyBorder="1" applyAlignment="1">
      <alignment vertical="center"/>
    </xf>
    <xf numFmtId="0" fontId="11" fillId="0" borderId="86" xfId="0" applyFont="1" applyBorder="1" applyAlignment="1">
      <alignment vertical="center"/>
    </xf>
    <xf numFmtId="169" fontId="26" fillId="25" borderId="86" xfId="0" applyNumberFormat="1" applyFont="1" applyFill="1" applyBorder="1" applyAlignment="1">
      <alignment vertical="center"/>
    </xf>
    <xf numFmtId="0" fontId="6" fillId="0" borderId="106" xfId="0" applyFont="1" applyBorder="1" applyAlignment="1">
      <alignment horizontal="center" vertical="center"/>
    </xf>
    <xf numFmtId="165" fontId="6" fillId="0" borderId="90" xfId="0" applyNumberFormat="1" applyFont="1" applyBorder="1" applyAlignment="1">
      <alignment horizontal="center" vertical="center"/>
    </xf>
    <xf numFmtId="165" fontId="6" fillId="0" borderId="107" xfId="0" applyNumberFormat="1" applyFont="1" applyBorder="1" applyAlignment="1">
      <alignment horizontal="center" vertical="center"/>
    </xf>
    <xf numFmtId="172" fontId="10" fillId="0" borderId="105" xfId="0" applyNumberFormat="1" applyFont="1" applyBorder="1" applyAlignment="1">
      <alignment vertical="center"/>
    </xf>
    <xf numFmtId="164" fontId="10" fillId="0" borderId="104" xfId="0" applyNumberFormat="1" applyFont="1" applyBorder="1" applyAlignment="1">
      <alignment vertical="center"/>
    </xf>
    <xf numFmtId="164" fontId="6" fillId="0" borderId="86" xfId="0" applyNumberFormat="1" applyFont="1" applyBorder="1" applyAlignment="1">
      <alignment horizontal="center" vertical="center"/>
    </xf>
    <xf numFmtId="164" fontId="6" fillId="0" borderId="86" xfId="0" applyNumberFormat="1" applyFont="1" applyBorder="1" applyAlignment="1">
      <alignment vertical="center"/>
    </xf>
    <xf numFmtId="164" fontId="6" fillId="0" borderId="104" xfId="0" applyNumberFormat="1" applyFont="1" applyBorder="1" applyAlignment="1">
      <alignment vertical="center"/>
    </xf>
    <xf numFmtId="168" fontId="27" fillId="0" borderId="23" xfId="0" applyNumberFormat="1" applyFont="1" applyBorder="1" applyAlignment="1">
      <alignment horizontal="center" vertical="center"/>
    </xf>
    <xf numFmtId="0" fontId="11" fillId="19" borderId="23" xfId="0" applyFont="1" applyFill="1" applyBorder="1" applyAlignment="1">
      <alignment horizontal="center" vertical="center"/>
    </xf>
    <xf numFmtId="0" fontId="11" fillId="9" borderId="47" xfId="0" applyFont="1" applyFill="1" applyBorder="1" applyAlignment="1">
      <alignment horizontal="center" vertical="center"/>
    </xf>
    <xf numFmtId="0" fontId="11" fillId="22" borderId="25" xfId="0" applyFont="1" applyFill="1" applyBorder="1" applyAlignment="1">
      <alignment horizontal="center" vertical="center"/>
    </xf>
    <xf numFmtId="9" fontId="26" fillId="25" borderId="86" xfId="1" applyFont="1" applyFill="1" applyBorder="1" applyAlignment="1">
      <alignment horizontal="center" vertical="center"/>
    </xf>
    <xf numFmtId="171" fontId="38" fillId="0" borderId="86" xfId="0" applyNumberFormat="1" applyFont="1" applyBorder="1" applyAlignment="1">
      <alignment horizontal="right" vertical="top"/>
    </xf>
    <xf numFmtId="0" fontId="0" fillId="0" borderId="109" xfId="0" applyBorder="1"/>
    <xf numFmtId="0" fontId="42" fillId="0" borderId="109" xfId="0" applyFont="1" applyBorder="1" applyAlignment="1">
      <alignment vertical="top" wrapText="1"/>
    </xf>
    <xf numFmtId="0" fontId="36" fillId="0" borderId="109" xfId="0" applyFont="1" applyBorder="1"/>
    <xf numFmtId="49" fontId="42" fillId="0" borderId="109" xfId="0" applyNumberFormat="1" applyFont="1" applyBorder="1" applyAlignment="1">
      <alignment vertical="top" wrapText="1"/>
    </xf>
    <xf numFmtId="49" fontId="36" fillId="0" borderId="109" xfId="0" applyNumberFormat="1" applyFont="1" applyBorder="1"/>
    <xf numFmtId="171" fontId="38" fillId="4" borderId="86" xfId="0" applyNumberFormat="1" applyFont="1" applyFill="1" applyBorder="1" applyAlignment="1">
      <alignment horizontal="right" vertical="top"/>
    </xf>
    <xf numFmtId="164" fontId="38" fillId="15" borderId="86" xfId="0" applyNumberFormat="1" applyFont="1" applyFill="1" applyBorder="1" applyAlignment="1">
      <alignment vertical="center"/>
    </xf>
    <xf numFmtId="0" fontId="8" fillId="0" borderId="86" xfId="0" applyFont="1" applyBorder="1"/>
    <xf numFmtId="164" fontId="8" fillId="0" borderId="86" xfId="0" applyNumberFormat="1" applyFont="1" applyBorder="1"/>
    <xf numFmtId="0" fontId="10" fillId="0" borderId="14" xfId="0" applyFont="1" applyBorder="1" applyAlignment="1">
      <alignment horizontal="center" vertical="center"/>
    </xf>
    <xf numFmtId="168" fontId="52" fillId="0" borderId="13" xfId="0" applyNumberFormat="1" applyFont="1" applyBorder="1" applyAlignment="1">
      <alignment horizontal="center" vertical="center"/>
    </xf>
    <xf numFmtId="168" fontId="52" fillId="0" borderId="42" xfId="0" applyNumberFormat="1" applyFont="1" applyBorder="1" applyAlignment="1">
      <alignment horizontal="center" vertical="center"/>
    </xf>
    <xf numFmtId="168" fontId="52" fillId="0" borderId="102" xfId="0" applyNumberFormat="1" applyFont="1" applyBorder="1" applyAlignment="1">
      <alignment horizontal="center" vertical="center"/>
    </xf>
    <xf numFmtId="164" fontId="53" fillId="0" borderId="0" xfId="0" applyNumberFormat="1" applyFont="1"/>
    <xf numFmtId="168" fontId="33" fillId="0" borderId="118" xfId="0" applyNumberFormat="1" applyFont="1" applyBorder="1" applyAlignment="1">
      <alignment horizontal="center" vertical="center"/>
    </xf>
    <xf numFmtId="168" fontId="33" fillId="0" borderId="119" xfId="0" applyNumberFormat="1" applyFont="1" applyBorder="1" applyAlignment="1">
      <alignment horizontal="center" vertical="center"/>
    </xf>
    <xf numFmtId="0" fontId="33" fillId="0" borderId="95" xfId="0" applyFont="1" applyBorder="1" applyAlignment="1">
      <alignment vertical="center"/>
    </xf>
    <xf numFmtId="168" fontId="33" fillId="0" borderId="85" xfId="0" applyNumberFormat="1" applyFont="1" applyBorder="1" applyAlignment="1">
      <alignment horizontal="center" vertical="center"/>
    </xf>
    <xf numFmtId="168" fontId="33" fillId="0" borderId="95" xfId="0" applyNumberFormat="1" applyFont="1" applyBorder="1" applyAlignment="1">
      <alignment horizontal="center" vertical="center"/>
    </xf>
    <xf numFmtId="0" fontId="32" fillId="0" borderId="89" xfId="0" applyFont="1" applyBorder="1" applyAlignment="1">
      <alignment horizontal="center" vertical="center"/>
    </xf>
    <xf numFmtId="164" fontId="54" fillId="0" borderId="86" xfId="0" applyNumberFormat="1" applyFont="1" applyBorder="1"/>
    <xf numFmtId="164" fontId="55" fillId="0" borderId="91" xfId="0" applyNumberFormat="1" applyFont="1" applyBorder="1" applyAlignment="1">
      <alignment horizontal="center" vertical="center"/>
    </xf>
    <xf numFmtId="164" fontId="55" fillId="0" borderId="91" xfId="0" applyNumberFormat="1" applyFont="1" applyBorder="1" applyAlignment="1">
      <alignment vertical="center" wrapText="1"/>
    </xf>
    <xf numFmtId="164" fontId="55" fillId="0" borderId="86" xfId="0" applyNumberFormat="1" applyFont="1" applyBorder="1" applyAlignment="1">
      <alignment horizontal="center" vertical="center"/>
    </xf>
    <xf numFmtId="164" fontId="55" fillId="0" borderId="86" xfId="0" applyNumberFormat="1" applyFont="1" applyBorder="1" applyAlignment="1">
      <alignment horizontal="center"/>
    </xf>
    <xf numFmtId="164" fontId="56" fillId="0" borderId="86" xfId="0" applyNumberFormat="1" applyFont="1" applyBorder="1" applyAlignment="1">
      <alignment horizontal="center" vertical="center"/>
    </xf>
    <xf numFmtId="164" fontId="56" fillId="0" borderId="86" xfId="0" applyNumberFormat="1" applyFont="1" applyBorder="1" applyAlignment="1">
      <alignment horizontal="center"/>
    </xf>
    <xf numFmtId="164" fontId="55" fillId="0" borderId="86" xfId="0" applyNumberFormat="1" applyFont="1" applyBorder="1" applyAlignment="1">
      <alignment vertical="center"/>
    </xf>
    <xf numFmtId="164" fontId="56" fillId="0" borderId="86" xfId="0" applyNumberFormat="1" applyFont="1" applyBorder="1" applyAlignment="1">
      <alignment vertical="center"/>
    </xf>
    <xf numFmtId="164" fontId="54" fillId="0" borderId="86" xfId="0" applyNumberFormat="1" applyFont="1" applyBorder="1" applyAlignment="1">
      <alignment horizontal="center"/>
    </xf>
    <xf numFmtId="164" fontId="55" fillId="0" borderId="123" xfId="0" applyNumberFormat="1" applyFont="1" applyBorder="1" applyAlignment="1">
      <alignment horizontal="center" vertical="center"/>
    </xf>
    <xf numFmtId="164" fontId="55" fillId="0" borderId="105" xfId="0" applyNumberFormat="1" applyFont="1" applyBorder="1" applyAlignment="1">
      <alignment horizontal="center" vertical="center"/>
    </xf>
    <xf numFmtId="164" fontId="55" fillId="0" borderId="105" xfId="0" applyNumberFormat="1" applyFont="1" applyBorder="1" applyAlignment="1">
      <alignment horizontal="center"/>
    </xf>
    <xf numFmtId="164" fontId="55" fillId="0" borderId="123" xfId="0" applyNumberFormat="1" applyFont="1" applyBorder="1" applyAlignment="1">
      <alignment horizontal="right" vertical="center"/>
    </xf>
    <xf numFmtId="0" fontId="6" fillId="0" borderId="90" xfId="0" applyFont="1" applyBorder="1" applyAlignment="1">
      <alignment horizontal="center" vertical="center"/>
    </xf>
    <xf numFmtId="0" fontId="21" fillId="24" borderId="107" xfId="0" applyFont="1" applyFill="1" applyBorder="1" applyAlignment="1">
      <alignment horizontal="center" vertical="center"/>
    </xf>
    <xf numFmtId="164" fontId="56" fillId="0" borderId="43" xfId="0" applyNumberFormat="1" applyFont="1" applyBorder="1" applyAlignment="1">
      <alignment horizontal="center" vertical="center"/>
    </xf>
    <xf numFmtId="0" fontId="55" fillId="0" borderId="105" xfId="0" applyFont="1" applyBorder="1" applyAlignment="1">
      <alignment wrapText="1"/>
    </xf>
    <xf numFmtId="0" fontId="55" fillId="0" borderId="123" xfId="0" applyFont="1" applyBorder="1" applyAlignment="1">
      <alignment wrapText="1"/>
    </xf>
    <xf numFmtId="0" fontId="55" fillId="0" borderId="105" xfId="0" applyFont="1" applyBorder="1" applyAlignment="1">
      <alignment horizontal="left" vertical="center"/>
    </xf>
    <xf numFmtId="0" fontId="55" fillId="0" borderId="105" xfId="0" applyFont="1" applyBorder="1" applyAlignment="1">
      <alignment vertical="center" wrapText="1"/>
    </xf>
    <xf numFmtId="0" fontId="56" fillId="0" borderId="105" xfId="0" applyFont="1" applyBorder="1" applyAlignment="1">
      <alignment vertical="center" wrapText="1"/>
    </xf>
    <xf numFmtId="0" fontId="55" fillId="0" borderId="105" xfId="0" applyFont="1" applyBorder="1" applyAlignment="1">
      <alignment vertical="center"/>
    </xf>
    <xf numFmtId="0" fontId="54" fillId="0" borderId="50" xfId="0" applyFont="1" applyBorder="1" applyAlignment="1">
      <alignment horizontal="left"/>
    </xf>
    <xf numFmtId="164" fontId="56" fillId="0" borderId="67" xfId="0" applyNumberFormat="1" applyFont="1" applyBorder="1" applyAlignment="1">
      <alignment horizontal="center" vertical="center"/>
    </xf>
    <xf numFmtId="172" fontId="6" fillId="0" borderId="105" xfId="0" applyNumberFormat="1" applyFont="1" applyBorder="1" applyAlignment="1">
      <alignment vertical="center"/>
    </xf>
    <xf numFmtId="0" fontId="55" fillId="0" borderId="123" xfId="0" applyFont="1" applyBorder="1" applyAlignment="1">
      <alignment horizontal="left" vertical="center"/>
    </xf>
    <xf numFmtId="0" fontId="55" fillId="0" borderId="86" xfId="0" applyFont="1" applyBorder="1" applyAlignment="1">
      <alignment horizontal="left" vertical="center"/>
    </xf>
    <xf numFmtId="0" fontId="56" fillId="0" borderId="86" xfId="0" applyFont="1" applyBorder="1" applyAlignment="1">
      <alignment vertical="center"/>
    </xf>
    <xf numFmtId="164" fontId="40" fillId="0" borderId="0" xfId="0" applyNumberFormat="1" applyFont="1" applyAlignment="1">
      <alignment horizontal="center" vertical="center"/>
    </xf>
    <xf numFmtId="164" fontId="54" fillId="0" borderId="16" xfId="0" applyNumberFormat="1" applyFont="1" applyBorder="1" applyAlignment="1">
      <alignment horizontal="center"/>
    </xf>
    <xf numFmtId="164" fontId="56" fillId="0" borderId="88" xfId="0" applyNumberFormat="1" applyFont="1" applyBorder="1" applyAlignment="1">
      <alignment horizontal="center" vertical="center"/>
    </xf>
    <xf numFmtId="0" fontId="32" fillId="42" borderId="89" xfId="0" applyFont="1" applyFill="1" applyBorder="1" applyAlignment="1">
      <alignment horizontal="center" vertical="center"/>
    </xf>
    <xf numFmtId="164" fontId="6" fillId="13" borderId="86" xfId="0" applyNumberFormat="1" applyFont="1" applyFill="1" applyBorder="1" applyAlignment="1">
      <alignment vertical="center"/>
    </xf>
    <xf numFmtId="0" fontId="29" fillId="0" borderId="124" xfId="0" applyFont="1" applyBorder="1"/>
    <xf numFmtId="0" fontId="38" fillId="0" borderId="86" xfId="0" applyFont="1" applyBorder="1" applyAlignment="1">
      <alignment horizontal="left" vertical="center"/>
    </xf>
    <xf numFmtId="0" fontId="38" fillId="15" borderId="86" xfId="0" applyFont="1" applyFill="1" applyBorder="1" applyAlignment="1">
      <alignment horizontal="left" vertical="center"/>
    </xf>
    <xf numFmtId="164" fontId="55" fillId="0" borderId="123" xfId="0" applyNumberFormat="1" applyFont="1" applyBorder="1" applyAlignment="1">
      <alignment horizontal="center"/>
    </xf>
    <xf numFmtId="3" fontId="10" fillId="0" borderId="14" xfId="0" applyNumberFormat="1" applyFont="1" applyBorder="1" applyAlignment="1">
      <alignment vertical="center"/>
    </xf>
    <xf numFmtId="164" fontId="7" fillId="4" borderId="86" xfId="0" applyNumberFormat="1" applyFont="1" applyFill="1" applyBorder="1" applyAlignment="1">
      <alignment horizontal="center"/>
    </xf>
    <xf numFmtId="164" fontId="7" fillId="4" borderId="86" xfId="0" applyNumberFormat="1" applyFont="1" applyFill="1" applyBorder="1"/>
    <xf numFmtId="0" fontId="33" fillId="18" borderId="14" xfId="0" applyFont="1" applyFill="1" applyBorder="1" applyAlignment="1">
      <alignment horizontal="left" vertical="center"/>
    </xf>
    <xf numFmtId="0" fontId="33" fillId="18" borderId="14" xfId="0" applyFont="1" applyFill="1" applyBorder="1" applyAlignment="1">
      <alignment vertical="center"/>
    </xf>
    <xf numFmtId="0" fontId="27" fillId="18" borderId="14" xfId="0" applyFont="1" applyFill="1" applyBorder="1" applyAlignment="1">
      <alignment vertical="center"/>
    </xf>
    <xf numFmtId="16" fontId="9" fillId="0" borderId="86" xfId="0" applyNumberFormat="1" applyFont="1" applyBorder="1"/>
    <xf numFmtId="16" fontId="9" fillId="0" borderId="86" xfId="0" applyNumberFormat="1" applyFont="1" applyBorder="1" applyAlignment="1">
      <alignment horizontal="right" vertical="center"/>
    </xf>
    <xf numFmtId="167" fontId="32" fillId="41" borderId="87" xfId="0" applyNumberFormat="1" applyFont="1" applyFill="1" applyBorder="1" applyAlignment="1">
      <alignment horizontal="center" vertical="center"/>
    </xf>
    <xf numFmtId="0" fontId="56" fillId="0" borderId="86" xfId="0" applyFont="1" applyBorder="1" applyAlignment="1">
      <alignment horizontal="left" vertical="center"/>
    </xf>
    <xf numFmtId="0" fontId="38" fillId="4" borderId="86" xfId="0" applyFont="1" applyFill="1" applyBorder="1" applyAlignment="1">
      <alignment horizontal="left" vertical="center"/>
    </xf>
    <xf numFmtId="164" fontId="38" fillId="4" borderId="86" xfId="0" applyNumberFormat="1" applyFont="1" applyFill="1" applyBorder="1" applyAlignment="1">
      <alignment vertical="center"/>
    </xf>
    <xf numFmtId="49" fontId="33" fillId="18" borderId="14" xfId="0" applyNumberFormat="1" applyFont="1" applyFill="1" applyBorder="1" applyAlignment="1">
      <alignment vertical="center"/>
    </xf>
    <xf numFmtId="164" fontId="38" fillId="0" borderId="86" xfId="0" applyNumberFormat="1" applyFont="1" applyBorder="1" applyAlignment="1">
      <alignment horizontal="center" vertical="center"/>
    </xf>
    <xf numFmtId="165" fontId="46" fillId="43" borderId="91" xfId="0" applyNumberFormat="1" applyFont="1" applyFill="1" applyBorder="1" applyAlignment="1">
      <alignment horizontal="center" vertical="center"/>
    </xf>
    <xf numFmtId="165" fontId="6" fillId="43" borderId="91" xfId="0" applyNumberFormat="1" applyFont="1" applyFill="1" applyBorder="1" applyAlignment="1">
      <alignment horizontal="center" vertical="center"/>
    </xf>
    <xf numFmtId="0" fontId="0" fillId="0" borderId="86" xfId="0" applyBorder="1"/>
    <xf numFmtId="0" fontId="1" fillId="0" borderId="86" xfId="0" applyFont="1" applyBorder="1"/>
    <xf numFmtId="0" fontId="6" fillId="14" borderId="86" xfId="0" applyFont="1" applyFill="1" applyBorder="1" applyAlignment="1">
      <alignment horizontal="center" vertical="center"/>
    </xf>
    <xf numFmtId="171" fontId="38" fillId="4" borderId="86" xfId="0" applyNumberFormat="1" applyFont="1" applyFill="1" applyBorder="1" applyAlignment="1">
      <alignment vertical="center"/>
    </xf>
    <xf numFmtId="171" fontId="38" fillId="15" borderId="86" xfId="0" applyNumberFormat="1" applyFont="1" applyFill="1" applyBorder="1" applyAlignment="1">
      <alignment vertical="center"/>
    </xf>
    <xf numFmtId="165" fontId="11" fillId="0" borderId="56" xfId="0" applyNumberFormat="1" applyFont="1" applyBorder="1" applyAlignment="1">
      <alignment horizontal="center" vertical="center"/>
    </xf>
    <xf numFmtId="165" fontId="10" fillId="0" borderId="56" xfId="0" applyNumberFormat="1" applyFont="1" applyBorder="1" applyAlignment="1">
      <alignment horizontal="left" vertical="center"/>
    </xf>
    <xf numFmtId="164" fontId="10" fillId="0" borderId="56" xfId="0" applyNumberFormat="1" applyFont="1" applyBorder="1" applyAlignment="1">
      <alignment horizontal="center" vertical="center"/>
    </xf>
    <xf numFmtId="164" fontId="37" fillId="0" borderId="56" xfId="0" applyNumberFormat="1" applyFont="1" applyBorder="1" applyAlignment="1">
      <alignment horizontal="center" vertical="center"/>
    </xf>
    <xf numFmtId="17" fontId="11" fillId="0" borderId="56" xfId="0" applyNumberFormat="1" applyFont="1" applyBorder="1" applyAlignment="1">
      <alignment horizontal="center" vertical="center"/>
    </xf>
    <xf numFmtId="165" fontId="5" fillId="0" borderId="56" xfId="0" applyNumberFormat="1" applyFont="1" applyBorder="1" applyAlignment="1">
      <alignment horizontal="center" vertical="center"/>
    </xf>
    <xf numFmtId="165" fontId="6" fillId="45" borderId="86" xfId="0" applyNumberFormat="1" applyFont="1" applyFill="1" applyBorder="1"/>
    <xf numFmtId="164" fontId="16" fillId="0" borderId="86" xfId="0" applyNumberFormat="1" applyFont="1" applyBorder="1"/>
    <xf numFmtId="164" fontId="10" fillId="0" borderId="86" xfId="0" applyNumberFormat="1" applyFont="1" applyBorder="1"/>
    <xf numFmtId="49" fontId="38" fillId="0" borderId="86" xfId="0" applyNumberFormat="1" applyFont="1" applyBorder="1" applyAlignment="1">
      <alignment horizontal="left" vertical="top" wrapText="1"/>
    </xf>
    <xf numFmtId="170" fontId="16" fillId="0" borderId="86" xfId="0" applyNumberFormat="1" applyFont="1" applyBorder="1" applyAlignment="1">
      <alignment horizontal="right" vertical="center"/>
    </xf>
    <xf numFmtId="49" fontId="16" fillId="0" borderId="86" xfId="0" applyNumberFormat="1" applyFont="1" applyBorder="1" applyAlignment="1">
      <alignment horizontal="left" vertical="center"/>
    </xf>
    <xf numFmtId="170" fontId="10" fillId="0" borderId="86" xfId="0" applyNumberFormat="1" applyFont="1" applyBorder="1" applyAlignment="1">
      <alignment vertical="top"/>
    </xf>
    <xf numFmtId="49" fontId="10" fillId="0" borderId="86" xfId="0" applyNumberFormat="1" applyFont="1" applyBorder="1"/>
    <xf numFmtId="0" fontId="6" fillId="3" borderId="46" xfId="0" applyFont="1" applyFill="1" applyBorder="1"/>
    <xf numFmtId="165" fontId="6" fillId="3" borderId="86" xfId="0" applyNumberFormat="1" applyFont="1" applyFill="1" applyBorder="1" applyAlignment="1">
      <alignment horizontal="center"/>
    </xf>
    <xf numFmtId="165" fontId="11" fillId="3" borderId="86" xfId="0" applyNumberFormat="1" applyFont="1" applyFill="1" applyBorder="1" applyAlignment="1">
      <alignment vertical="top"/>
    </xf>
    <xf numFmtId="165" fontId="11" fillId="5" borderId="86" xfId="0" applyNumberFormat="1" applyFont="1" applyFill="1" applyBorder="1"/>
    <xf numFmtId="0" fontId="55" fillId="0" borderId="0" xfId="0" applyFont="1"/>
    <xf numFmtId="0" fontId="27" fillId="0" borderId="141" xfId="0" applyFont="1" applyBorder="1" applyAlignment="1">
      <alignment horizontal="center" vertical="center"/>
    </xf>
    <xf numFmtId="0" fontId="27" fillId="0" borderId="142" xfId="0" applyFont="1" applyBorder="1" applyAlignment="1">
      <alignment horizontal="center" vertical="center"/>
    </xf>
    <xf numFmtId="0" fontId="27" fillId="0" borderId="117" xfId="0" applyFont="1" applyBorder="1" applyAlignment="1">
      <alignment vertical="center"/>
    </xf>
    <xf numFmtId="0" fontId="27" fillId="0" borderId="144" xfId="0" applyFont="1" applyBorder="1" applyAlignment="1">
      <alignment vertical="center"/>
    </xf>
    <xf numFmtId="0" fontId="27" fillId="0" borderId="100" xfId="0" applyFont="1" applyBorder="1" applyAlignment="1">
      <alignment vertical="center"/>
    </xf>
    <xf numFmtId="0" fontId="27" fillId="0" borderId="139" xfId="0" applyFont="1" applyBorder="1" applyAlignment="1">
      <alignment vertical="center"/>
    </xf>
    <xf numFmtId="0" fontId="27" fillId="0" borderId="135" xfId="0" applyFont="1" applyBorder="1" applyAlignment="1">
      <alignment vertical="center"/>
    </xf>
    <xf numFmtId="164" fontId="46" fillId="0" borderId="86" xfId="0" applyNumberFormat="1" applyFont="1" applyBorder="1" applyAlignment="1">
      <alignment vertical="center"/>
    </xf>
    <xf numFmtId="164" fontId="46" fillId="0" borderId="86" xfId="0" applyNumberFormat="1" applyFont="1" applyBorder="1" applyAlignment="1">
      <alignment horizontal="center" vertical="center"/>
    </xf>
    <xf numFmtId="0" fontId="32" fillId="41" borderId="133" xfId="0" applyFont="1" applyFill="1" applyBorder="1" applyAlignment="1">
      <alignment horizontal="center" vertical="center"/>
    </xf>
    <xf numFmtId="167" fontId="32" fillId="0" borderId="87" xfId="0" applyNumberFormat="1" applyFont="1" applyBorder="1" applyAlignment="1">
      <alignment horizontal="center" vertical="center"/>
    </xf>
    <xf numFmtId="0" fontId="6" fillId="40" borderId="91" xfId="0" applyFont="1" applyFill="1" applyBorder="1" applyAlignment="1">
      <alignment horizontal="center" vertical="center"/>
    </xf>
    <xf numFmtId="0" fontId="45" fillId="40" borderId="91" xfId="0" applyFont="1" applyFill="1" applyBorder="1" applyAlignment="1">
      <alignment horizontal="center" vertical="center"/>
    </xf>
    <xf numFmtId="14" fontId="16" fillId="46" borderId="86" xfId="0" applyNumberFormat="1" applyFont="1" applyFill="1" applyBorder="1" applyAlignment="1">
      <alignment horizontal="center" vertical="center"/>
    </xf>
    <xf numFmtId="0" fontId="29" fillId="0" borderId="56" xfId="0" applyFont="1" applyBorder="1" applyAlignment="1">
      <alignment horizontal="center"/>
    </xf>
    <xf numFmtId="0" fontId="29" fillId="0" borderId="113" xfId="0" applyFont="1" applyBorder="1" applyAlignment="1">
      <alignment horizontal="center"/>
    </xf>
    <xf numFmtId="0" fontId="29" fillId="0" borderId="134" xfId="0" applyFont="1" applyBorder="1" applyAlignment="1">
      <alignment horizontal="center"/>
    </xf>
    <xf numFmtId="167" fontId="32" fillId="41" borderId="151" xfId="0" applyNumberFormat="1" applyFont="1" applyFill="1" applyBorder="1" applyAlignment="1">
      <alignment horizontal="center" vertical="center"/>
    </xf>
    <xf numFmtId="167" fontId="32" fillId="48" borderId="152" xfId="0" applyNumberFormat="1" applyFont="1" applyFill="1" applyBorder="1" applyAlignment="1">
      <alignment horizontal="center" vertical="center"/>
    </xf>
    <xf numFmtId="0" fontId="32" fillId="48" borderId="153" xfId="0" applyFont="1" applyFill="1" applyBorder="1" applyAlignment="1">
      <alignment horizontal="center" vertical="center"/>
    </xf>
    <xf numFmtId="167" fontId="32" fillId="0" borderId="131" xfId="0" applyNumberFormat="1" applyFont="1" applyBorder="1" applyAlignment="1">
      <alignment horizontal="center" vertical="center"/>
    </xf>
    <xf numFmtId="0" fontId="32" fillId="0" borderId="132" xfId="0" applyFont="1" applyBorder="1" applyAlignment="1">
      <alignment horizontal="center" vertical="center"/>
    </xf>
    <xf numFmtId="167" fontId="32" fillId="0" borderId="151" xfId="0" applyNumberFormat="1" applyFont="1" applyBorder="1" applyAlignment="1">
      <alignment horizontal="center" vertical="center"/>
    </xf>
    <xf numFmtId="0" fontId="32" fillId="42" borderId="133" xfId="0" applyFont="1" applyFill="1" applyBorder="1" applyAlignment="1">
      <alignment horizontal="center" vertical="center"/>
    </xf>
    <xf numFmtId="0" fontId="21" fillId="48" borderId="150" xfId="0" applyFont="1" applyFill="1" applyBorder="1" applyAlignment="1">
      <alignment horizontal="center"/>
    </xf>
    <xf numFmtId="165" fontId="16" fillId="47" borderId="86" xfId="0" applyNumberFormat="1" applyFont="1" applyFill="1" applyBorder="1" applyAlignment="1">
      <alignment vertical="center"/>
    </xf>
    <xf numFmtId="14" fontId="16" fillId="49" borderId="86" xfId="0" applyNumberFormat="1" applyFont="1" applyFill="1" applyBorder="1" applyAlignment="1">
      <alignment horizontal="center" vertical="center"/>
    </xf>
    <xf numFmtId="165" fontId="16" fillId="47" borderId="86" xfId="0" applyNumberFormat="1" applyFont="1" applyFill="1" applyBorder="1"/>
    <xf numFmtId="0" fontId="11" fillId="50" borderId="30" xfId="0" applyFont="1" applyFill="1" applyBorder="1" applyAlignment="1">
      <alignment horizontal="center" vertical="center"/>
    </xf>
    <xf numFmtId="165" fontId="11" fillId="50" borderId="12" xfId="0" applyNumberFormat="1" applyFont="1" applyFill="1" applyBorder="1" applyAlignment="1">
      <alignment horizontal="center" vertical="center"/>
    </xf>
    <xf numFmtId="0" fontId="11" fillId="50" borderId="12" xfId="0" applyFont="1" applyFill="1" applyBorder="1" applyAlignment="1">
      <alignment horizontal="center" vertical="center"/>
    </xf>
    <xf numFmtId="0" fontId="27" fillId="50" borderId="12" xfId="0" applyFont="1" applyFill="1" applyBorder="1" applyAlignment="1">
      <alignment horizontal="center" vertical="center"/>
    </xf>
    <xf numFmtId="0" fontId="11" fillId="50" borderId="31" xfId="0" applyFont="1" applyFill="1" applyBorder="1" applyAlignment="1">
      <alignment horizontal="center" vertical="center"/>
    </xf>
    <xf numFmtId="16" fontId="10" fillId="51" borderId="23" xfId="0" applyNumberFormat="1" applyFont="1" applyFill="1" applyBorder="1" applyAlignment="1">
      <alignment vertical="center"/>
    </xf>
    <xf numFmtId="168" fontId="10" fillId="51" borderId="13" xfId="0" applyNumberFormat="1" applyFont="1" applyFill="1" applyBorder="1" applyAlignment="1">
      <alignment vertical="center"/>
    </xf>
    <xf numFmtId="4" fontId="10" fillId="51" borderId="13" xfId="0" applyNumberFormat="1" applyFont="1" applyFill="1" applyBorder="1" applyAlignment="1">
      <alignment vertical="center"/>
    </xf>
    <xf numFmtId="166" fontId="10" fillId="51" borderId="13" xfId="0" applyNumberFormat="1" applyFont="1" applyFill="1" applyBorder="1" applyAlignment="1">
      <alignment vertical="center"/>
    </xf>
    <xf numFmtId="0" fontId="10" fillId="51" borderId="13" xfId="0" applyFont="1" applyFill="1" applyBorder="1" applyAlignment="1">
      <alignment vertical="center"/>
    </xf>
    <xf numFmtId="168" fontId="7" fillId="51" borderId="13" xfId="0" applyNumberFormat="1" applyFont="1" applyFill="1" applyBorder="1" applyAlignment="1">
      <alignment vertical="center"/>
    </xf>
    <xf numFmtId="0" fontId="10" fillId="51" borderId="14" xfId="0" applyFont="1" applyFill="1" applyBorder="1" applyAlignment="1">
      <alignment vertical="center"/>
    </xf>
    <xf numFmtId="0" fontId="28" fillId="52" borderId="52" xfId="0" applyFont="1" applyFill="1" applyBorder="1" applyAlignment="1">
      <alignment horizontal="center" vertical="center"/>
    </xf>
    <xf numFmtId="168" fontId="28" fillId="53" borderId="61" xfId="0" applyNumberFormat="1" applyFont="1" applyFill="1" applyBorder="1" applyAlignment="1">
      <alignment vertical="center"/>
    </xf>
    <xf numFmtId="168" fontId="28" fillId="53" borderId="53" xfId="0" applyNumberFormat="1" applyFont="1" applyFill="1" applyBorder="1" applyAlignment="1">
      <alignment vertical="center"/>
    </xf>
    <xf numFmtId="0" fontId="11" fillId="17" borderId="7" xfId="0" applyFont="1" applyFill="1" applyBorder="1" applyAlignment="1">
      <alignment horizontal="center" vertical="center"/>
    </xf>
    <xf numFmtId="165" fontId="11" fillId="18" borderId="8" xfId="0" applyNumberFormat="1" applyFont="1" applyFill="1" applyBorder="1" applyAlignment="1">
      <alignment horizontal="center" vertical="center"/>
    </xf>
    <xf numFmtId="165" fontId="11" fillId="18" borderId="9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vertical="center"/>
    </xf>
    <xf numFmtId="168" fontId="10" fillId="0" borderId="41" xfId="0" applyNumberFormat="1" applyFont="1" applyBorder="1" applyAlignment="1">
      <alignment vertical="center"/>
    </xf>
    <xf numFmtId="4" fontId="10" fillId="0" borderId="41" xfId="0" applyNumberFormat="1" applyFont="1" applyBorder="1" applyAlignment="1">
      <alignment vertical="center"/>
    </xf>
    <xf numFmtId="166" fontId="10" fillId="0" borderId="41" xfId="0" applyNumberFormat="1" applyFont="1" applyBorder="1" applyAlignment="1">
      <alignment vertical="center"/>
    </xf>
    <xf numFmtId="168" fontId="7" fillId="0" borderId="41" xfId="0" applyNumberFormat="1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169" fontId="17" fillId="4" borderId="56" xfId="0" applyNumberFormat="1" applyFont="1" applyFill="1" applyBorder="1" applyAlignment="1">
      <alignment vertical="top"/>
    </xf>
    <xf numFmtId="0" fontId="11" fillId="0" borderId="114" xfId="0" applyFont="1" applyBorder="1" applyAlignment="1">
      <alignment vertical="center"/>
    </xf>
    <xf numFmtId="169" fontId="18" fillId="0" borderId="155" xfId="0" applyNumberFormat="1" applyFont="1" applyBorder="1" applyAlignment="1">
      <alignment vertical="center"/>
    </xf>
    <xf numFmtId="0" fontId="11" fillId="0" borderId="139" xfId="0" applyFont="1" applyBorder="1" applyAlignment="1">
      <alignment vertical="center"/>
    </xf>
    <xf numFmtId="169" fontId="18" fillId="0" borderId="88" xfId="0" applyNumberFormat="1" applyFont="1" applyBorder="1" applyAlignment="1">
      <alignment vertical="center"/>
    </xf>
    <xf numFmtId="0" fontId="11" fillId="0" borderId="154" xfId="0" applyFont="1" applyBorder="1" applyAlignment="1">
      <alignment vertical="center"/>
    </xf>
    <xf numFmtId="169" fontId="18" fillId="0" borderId="156" xfId="0" applyNumberFormat="1" applyFont="1" applyBorder="1" applyAlignment="1">
      <alignment vertical="center"/>
    </xf>
    <xf numFmtId="0" fontId="25" fillId="0" borderId="147" xfId="0" applyFont="1" applyBorder="1" applyAlignment="1">
      <alignment vertical="center"/>
    </xf>
    <xf numFmtId="169" fontId="25" fillId="0" borderId="148" xfId="0" applyNumberFormat="1" applyFont="1" applyBorder="1" applyAlignment="1">
      <alignment vertical="center"/>
    </xf>
    <xf numFmtId="14" fontId="38" fillId="49" borderId="86" xfId="0" applyNumberFormat="1" applyFont="1" applyFill="1" applyBorder="1" applyAlignment="1">
      <alignment horizontal="center" vertical="center"/>
    </xf>
    <xf numFmtId="165" fontId="38" fillId="0" borderId="86" xfId="0" applyNumberFormat="1" applyFont="1" applyBorder="1" applyAlignment="1">
      <alignment vertical="center"/>
    </xf>
    <xf numFmtId="164" fontId="38" fillId="0" borderId="86" xfId="0" applyNumberFormat="1" applyFont="1" applyBorder="1"/>
    <xf numFmtId="0" fontId="10" fillId="0" borderId="26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28" xfId="0" applyFont="1" applyBorder="1"/>
    <xf numFmtId="4" fontId="13" fillId="5" borderId="9" xfId="0" applyNumberFormat="1" applyFont="1" applyFill="1" applyBorder="1" applyAlignment="1">
      <alignment horizontal="center" vertical="center"/>
    </xf>
    <xf numFmtId="0" fontId="3" fillId="0" borderId="22" xfId="0" applyFont="1" applyBorder="1"/>
    <xf numFmtId="0" fontId="0" fillId="0" borderId="56" xfId="0" applyBorder="1" applyAlignment="1">
      <alignment horizontal="center"/>
    </xf>
    <xf numFmtId="0" fontId="57" fillId="44" borderId="125" xfId="0" applyFont="1" applyFill="1" applyBorder="1" applyAlignment="1">
      <alignment horizontal="center" vertical="center"/>
    </xf>
    <xf numFmtId="0" fontId="57" fillId="44" borderId="120" xfId="0" applyFont="1" applyFill="1" applyBorder="1" applyAlignment="1">
      <alignment horizontal="center" vertical="center"/>
    </xf>
    <xf numFmtId="0" fontId="57" fillId="44" borderId="126" xfId="0" applyFont="1" applyFill="1" applyBorder="1" applyAlignment="1">
      <alignment horizontal="center" vertical="center"/>
    </xf>
    <xf numFmtId="0" fontId="57" fillId="44" borderId="121" xfId="0" applyFont="1" applyFill="1" applyBorder="1" applyAlignment="1">
      <alignment horizontal="center" vertical="center"/>
    </xf>
    <xf numFmtId="0" fontId="0" fillId="0" borderId="127" xfId="0" applyBorder="1" applyAlignment="1">
      <alignment horizontal="center"/>
    </xf>
    <xf numFmtId="0" fontId="6" fillId="0" borderId="56" xfId="0" applyFont="1" applyBorder="1" applyAlignment="1">
      <alignment horizontal="center" vertical="center"/>
    </xf>
    <xf numFmtId="165" fontId="11" fillId="6" borderId="86" xfId="0" applyNumberFormat="1" applyFont="1" applyFill="1" applyBorder="1" applyAlignment="1">
      <alignment horizontal="left" vertical="center"/>
    </xf>
    <xf numFmtId="0" fontId="3" fillId="0" borderId="86" xfId="0" applyFont="1" applyBorder="1"/>
    <xf numFmtId="0" fontId="2" fillId="39" borderId="86" xfId="0" applyFont="1" applyFill="1" applyBorder="1" applyAlignment="1">
      <alignment horizontal="center" vertical="center"/>
    </xf>
    <xf numFmtId="0" fontId="3" fillId="40" borderId="86" xfId="0" applyFont="1" applyFill="1" applyBorder="1"/>
    <xf numFmtId="165" fontId="2" fillId="3" borderId="1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5" fillId="0" borderId="86" xfId="0" applyFont="1" applyBorder="1"/>
    <xf numFmtId="0" fontId="0" fillId="0" borderId="86" xfId="0" applyBorder="1"/>
    <xf numFmtId="166" fontId="5" fillId="0" borderId="0" xfId="0" applyNumberFormat="1" applyFont="1" applyAlignment="1">
      <alignment horizontal="left" vertical="center"/>
    </xf>
    <xf numFmtId="0" fontId="0" fillId="0" borderId="0" xfId="0"/>
    <xf numFmtId="0" fontId="11" fillId="8" borderId="86" xfId="0" applyFont="1" applyFill="1" applyBorder="1" applyAlignment="1">
      <alignment horizontal="center" vertical="center"/>
    </xf>
    <xf numFmtId="14" fontId="16" fillId="49" borderId="91" xfId="0" applyNumberFormat="1" applyFont="1" applyFill="1" applyBorder="1" applyAlignment="1">
      <alignment horizontal="center" vertical="center"/>
    </xf>
    <xf numFmtId="14" fontId="16" fillId="49" borderId="149" xfId="0" applyNumberFormat="1" applyFont="1" applyFill="1" applyBorder="1" applyAlignment="1">
      <alignment horizontal="center" vertical="center"/>
    </xf>
    <xf numFmtId="14" fontId="16" fillId="49" borderId="90" xfId="0" applyNumberFormat="1" applyFont="1" applyFill="1" applyBorder="1" applyAlignment="1">
      <alignment horizontal="center" vertical="center"/>
    </xf>
    <xf numFmtId="165" fontId="11" fillId="54" borderId="32" xfId="0" applyNumberFormat="1" applyFont="1" applyFill="1" applyBorder="1" applyAlignment="1">
      <alignment vertical="top"/>
    </xf>
    <xf numFmtId="0" fontId="3" fillId="48" borderId="33" xfId="0" applyFont="1" applyFill="1" applyBorder="1"/>
    <xf numFmtId="0" fontId="3" fillId="48" borderId="34" xfId="0" applyFont="1" applyFill="1" applyBorder="1"/>
    <xf numFmtId="169" fontId="17" fillId="4" borderId="38" xfId="0" applyNumberFormat="1" applyFont="1" applyFill="1" applyBorder="1" applyAlignment="1">
      <alignment vertical="top"/>
    </xf>
    <xf numFmtId="0" fontId="3" fillId="0" borderId="39" xfId="0" applyFont="1" applyBorder="1"/>
    <xf numFmtId="0" fontId="3" fillId="0" borderId="40" xfId="0" applyFont="1" applyBorder="1"/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5" fontId="11" fillId="16" borderId="32" xfId="0" applyNumberFormat="1" applyFont="1" applyFill="1" applyBorder="1" applyAlignment="1">
      <alignment vertical="top"/>
    </xf>
    <xf numFmtId="0" fontId="3" fillId="0" borderId="33" xfId="0" applyFont="1" applyBorder="1"/>
    <xf numFmtId="0" fontId="3" fillId="0" borderId="34" xfId="0" applyFont="1" applyBorder="1"/>
    <xf numFmtId="165" fontId="15" fillId="0" borderId="0" xfId="0" applyNumberFormat="1" applyFont="1" applyAlignment="1">
      <alignment vertical="top"/>
    </xf>
    <xf numFmtId="165" fontId="5" fillId="0" borderId="0" xfId="0" applyNumberFormat="1" applyFont="1"/>
    <xf numFmtId="165" fontId="11" fillId="55" borderId="32" xfId="0" applyNumberFormat="1" applyFont="1" applyFill="1" applyBorder="1" applyAlignment="1">
      <alignment vertical="top"/>
    </xf>
    <xf numFmtId="0" fontId="3" fillId="44" borderId="33" xfId="0" applyFont="1" applyFill="1" applyBorder="1"/>
    <xf numFmtId="0" fontId="3" fillId="44" borderId="34" xfId="0" applyFont="1" applyFill="1" applyBorder="1"/>
    <xf numFmtId="165" fontId="11" fillId="58" borderId="32" xfId="0" applyNumberFormat="1" applyFont="1" applyFill="1" applyBorder="1" applyAlignment="1">
      <alignment vertical="top"/>
    </xf>
    <xf numFmtId="0" fontId="3" fillId="59" borderId="33" xfId="0" applyFont="1" applyFill="1" applyBorder="1"/>
    <xf numFmtId="0" fontId="3" fillId="59" borderId="34" xfId="0" applyFont="1" applyFill="1" applyBorder="1"/>
    <xf numFmtId="169" fontId="17" fillId="0" borderId="38" xfId="0" applyNumberFormat="1" applyFont="1" applyBorder="1" applyAlignment="1">
      <alignment vertical="top"/>
    </xf>
    <xf numFmtId="169" fontId="17" fillId="4" borderId="2" xfId="0" applyNumberFormat="1" applyFont="1" applyFill="1" applyBorder="1" applyAlignment="1">
      <alignment horizontal="center" vertical="top"/>
    </xf>
    <xf numFmtId="169" fontId="17" fillId="4" borderId="5" xfId="0" applyNumberFormat="1" applyFont="1" applyFill="1" applyBorder="1" applyAlignment="1">
      <alignment horizontal="center" vertical="top"/>
    </xf>
    <xf numFmtId="0" fontId="11" fillId="14" borderId="49" xfId="0" applyFont="1" applyFill="1" applyBorder="1" applyAlignment="1">
      <alignment horizontal="center" vertical="center"/>
    </xf>
    <xf numFmtId="0" fontId="11" fillId="14" borderId="50" xfId="0" applyFont="1" applyFill="1" applyBorder="1" applyAlignment="1">
      <alignment horizontal="center" vertical="center"/>
    </xf>
    <xf numFmtId="0" fontId="11" fillId="14" borderId="43" xfId="0" applyFont="1" applyFill="1" applyBorder="1" applyAlignment="1">
      <alignment horizontal="center" vertical="center"/>
    </xf>
    <xf numFmtId="0" fontId="11" fillId="14" borderId="42" xfId="0" applyFont="1" applyFill="1" applyBorder="1" applyAlignment="1">
      <alignment horizontal="center" vertical="center"/>
    </xf>
    <xf numFmtId="169" fontId="11" fillId="0" borderId="10" xfId="0" applyNumberFormat="1" applyFont="1" applyBorder="1" applyAlignment="1">
      <alignment horizontal="center" vertical="center"/>
    </xf>
    <xf numFmtId="0" fontId="3" fillId="0" borderId="18" xfId="0" applyFont="1" applyBorder="1"/>
    <xf numFmtId="165" fontId="14" fillId="4" borderId="38" xfId="0" applyNumberFormat="1" applyFont="1" applyFill="1" applyBorder="1" applyAlignment="1">
      <alignment vertical="top"/>
    </xf>
    <xf numFmtId="165" fontId="6" fillId="37" borderId="86" xfId="0" applyNumberFormat="1" applyFont="1" applyFill="1" applyBorder="1" applyAlignment="1">
      <alignment horizontal="center"/>
    </xf>
    <xf numFmtId="0" fontId="3" fillId="38" borderId="86" xfId="0" applyFont="1" applyFill="1" applyBorder="1"/>
    <xf numFmtId="165" fontId="15" fillId="0" borderId="2" xfId="0" applyNumberFormat="1" applyFont="1" applyBorder="1" applyAlignment="1">
      <alignment horizontal="center" vertical="center"/>
    </xf>
    <xf numFmtId="165" fontId="15" fillId="0" borderId="56" xfId="0" applyNumberFormat="1" applyFont="1" applyBorder="1" applyAlignment="1">
      <alignment horizontal="center" vertical="center"/>
    </xf>
    <xf numFmtId="0" fontId="0" fillId="0" borderId="140" xfId="0" applyBorder="1"/>
    <xf numFmtId="165" fontId="6" fillId="45" borderId="86" xfId="0" applyNumberFormat="1" applyFont="1" applyFill="1" applyBorder="1" applyAlignment="1">
      <alignment horizontal="center"/>
    </xf>
    <xf numFmtId="165" fontId="5" fillId="0" borderId="136" xfId="0" applyNumberFormat="1" applyFont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5" fillId="0" borderId="0" xfId="0" applyFont="1"/>
    <xf numFmtId="165" fontId="11" fillId="11" borderId="32" xfId="0" applyNumberFormat="1" applyFont="1" applyFill="1" applyBorder="1" applyAlignment="1">
      <alignment vertical="top"/>
    </xf>
    <xf numFmtId="165" fontId="6" fillId="12" borderId="35" xfId="0" applyNumberFormat="1" applyFont="1" applyFill="1" applyBorder="1" applyAlignment="1">
      <alignment horizontal="center" vertical="center"/>
    </xf>
    <xf numFmtId="0" fontId="3" fillId="0" borderId="36" xfId="0" applyFont="1" applyBorder="1"/>
    <xf numFmtId="0" fontId="3" fillId="0" borderId="37" xfId="0" applyFont="1" applyBorder="1"/>
    <xf numFmtId="165" fontId="11" fillId="56" borderId="32" xfId="0" applyNumberFormat="1" applyFont="1" applyFill="1" applyBorder="1" applyAlignment="1">
      <alignment vertical="top"/>
    </xf>
    <xf numFmtId="0" fontId="3" fillId="57" borderId="33" xfId="0" applyFont="1" applyFill="1" applyBorder="1"/>
    <xf numFmtId="0" fontId="3" fillId="57" borderId="34" xfId="0" applyFont="1" applyFill="1" applyBorder="1"/>
    <xf numFmtId="169" fontId="18" fillId="0" borderId="57" xfId="0" applyNumberFormat="1" applyFont="1" applyBorder="1" applyAlignment="1">
      <alignment vertical="center"/>
    </xf>
    <xf numFmtId="0" fontId="3" fillId="0" borderId="58" xfId="0" applyFont="1" applyBorder="1"/>
    <xf numFmtId="0" fontId="11" fillId="0" borderId="7" xfId="0" applyFont="1" applyBorder="1" applyAlignment="1">
      <alignment horizontal="center" vertical="center"/>
    </xf>
    <xf numFmtId="0" fontId="3" fillId="0" borderId="19" xfId="0" applyFont="1" applyBorder="1"/>
    <xf numFmtId="169" fontId="11" fillId="0" borderId="8" xfId="0" applyNumberFormat="1" applyFont="1" applyBorder="1" applyAlignment="1">
      <alignment vertical="center"/>
    </xf>
    <xf numFmtId="0" fontId="3" fillId="0" borderId="21" xfId="0" applyFont="1" applyBorder="1"/>
    <xf numFmtId="169" fontId="11" fillId="0" borderId="8" xfId="0" applyNumberFormat="1" applyFont="1" applyBorder="1" applyAlignment="1">
      <alignment horizontal="center" vertical="center"/>
    </xf>
    <xf numFmtId="169" fontId="22" fillId="24" borderId="9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59" xfId="0" applyFont="1" applyBorder="1"/>
    <xf numFmtId="0" fontId="3" fillId="0" borderId="60" xfId="0" applyFont="1" applyBorder="1"/>
    <xf numFmtId="0" fontId="27" fillId="18" borderId="120" xfId="0" applyFont="1" applyFill="1" applyBorder="1" applyAlignment="1">
      <alignment horizontal="center" vertical="center"/>
    </xf>
    <xf numFmtId="0" fontId="41" fillId="0" borderId="121" xfId="0" applyFont="1" applyBorder="1"/>
    <xf numFmtId="0" fontId="30" fillId="18" borderId="15" xfId="0" applyFont="1" applyFill="1" applyBorder="1" applyAlignment="1">
      <alignment horizontal="center" vertical="center"/>
    </xf>
    <xf numFmtId="0" fontId="21" fillId="18" borderId="16" xfId="0" applyFont="1" applyFill="1" applyBorder="1" applyAlignment="1">
      <alignment vertical="center"/>
    </xf>
    <xf numFmtId="0" fontId="30" fillId="18" borderId="7" xfId="0" applyFont="1" applyFill="1" applyBorder="1" applyAlignment="1">
      <alignment horizontal="center" vertical="center"/>
    </xf>
    <xf numFmtId="0" fontId="21" fillId="18" borderId="8" xfId="0" applyFont="1" applyFill="1" applyBorder="1" applyAlignment="1">
      <alignment vertical="center"/>
    </xf>
    <xf numFmtId="0" fontId="3" fillId="0" borderId="15" xfId="0" applyFont="1" applyBorder="1"/>
    <xf numFmtId="0" fontId="3" fillId="0" borderId="16" xfId="0" applyFont="1" applyBorder="1"/>
    <xf numFmtId="0" fontId="30" fillId="18" borderId="103" xfId="0" applyFont="1" applyFill="1" applyBorder="1" applyAlignment="1">
      <alignment horizontal="center" vertical="center"/>
    </xf>
    <xf numFmtId="0" fontId="3" fillId="0" borderId="129" xfId="0" applyFont="1" applyBorder="1"/>
    <xf numFmtId="0" fontId="21" fillId="18" borderId="84" xfId="0" applyFont="1" applyFill="1" applyBorder="1" applyAlignment="1">
      <alignment vertical="center"/>
    </xf>
    <xf numFmtId="0" fontId="3" fillId="0" borderId="92" xfId="0" applyFont="1" applyBorder="1"/>
    <xf numFmtId="0" fontId="27" fillId="18" borderId="114" xfId="0" applyFont="1" applyFill="1" applyBorder="1" applyAlignment="1">
      <alignment horizontal="center" vertical="center"/>
    </xf>
    <xf numFmtId="0" fontId="41" fillId="0" borderId="108" xfId="0" applyFont="1" applyBorder="1"/>
    <xf numFmtId="0" fontId="27" fillId="18" borderId="87" xfId="0" applyFont="1" applyFill="1" applyBorder="1" applyAlignment="1">
      <alignment horizontal="center" vertical="center"/>
    </xf>
    <xf numFmtId="0" fontId="41" fillId="0" borderId="89" xfId="0" applyFont="1" applyBorder="1"/>
    <xf numFmtId="0" fontId="27" fillId="18" borderId="131" xfId="0" applyFont="1" applyFill="1" applyBorder="1" applyAlignment="1">
      <alignment horizontal="center" vertical="center"/>
    </xf>
    <xf numFmtId="0" fontId="41" fillId="0" borderId="132" xfId="0" applyFont="1" applyBorder="1"/>
    <xf numFmtId="0" fontId="29" fillId="0" borderId="112" xfId="0" applyFont="1" applyBorder="1" applyAlignment="1">
      <alignment horizontal="center"/>
    </xf>
    <xf numFmtId="0" fontId="29" fillId="0" borderId="113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29" fillId="0" borderId="49" xfId="0" applyFont="1" applyBorder="1"/>
    <xf numFmtId="0" fontId="3" fillId="0" borderId="50" xfId="0" applyFont="1" applyBorder="1"/>
    <xf numFmtId="0" fontId="3" fillId="0" borderId="67" xfId="0" applyFont="1" applyBorder="1"/>
    <xf numFmtId="0" fontId="3" fillId="0" borderId="68" xfId="0" applyFont="1" applyBorder="1"/>
    <xf numFmtId="0" fontId="3" fillId="0" borderId="75" xfId="0" applyFont="1" applyBorder="1"/>
    <xf numFmtId="0" fontId="3" fillId="0" borderId="76" xfId="0" applyFont="1" applyBorder="1"/>
    <xf numFmtId="0" fontId="49" fillId="27" borderId="63" xfId="0" applyFont="1" applyFill="1" applyBorder="1" applyAlignment="1">
      <alignment horizontal="center"/>
    </xf>
    <xf numFmtId="0" fontId="3" fillId="0" borderId="63" xfId="0" applyFont="1" applyBorder="1"/>
    <xf numFmtId="0" fontId="3" fillId="0" borderId="44" xfId="0" applyFont="1" applyBorder="1"/>
    <xf numFmtId="0" fontId="29" fillId="0" borderId="63" xfId="0" applyFont="1" applyBorder="1" applyAlignment="1">
      <alignment horizontal="center"/>
    </xf>
    <xf numFmtId="0" fontId="29" fillId="4" borderId="0" xfId="0" applyFont="1" applyFill="1"/>
    <xf numFmtId="0" fontId="3" fillId="0" borderId="77" xfId="0" applyFont="1" applyBorder="1"/>
    <xf numFmtId="0" fontId="29" fillId="0" borderId="69" xfId="0" applyFont="1" applyBorder="1" applyAlignment="1">
      <alignment horizontal="center"/>
    </xf>
    <xf numFmtId="0" fontId="3" fillId="0" borderId="69" xfId="0" applyFont="1" applyBorder="1"/>
    <xf numFmtId="0" fontId="29" fillId="0" borderId="0" xfId="0" applyFont="1"/>
    <xf numFmtId="0" fontId="30" fillId="0" borderId="73" xfId="0" applyFont="1" applyBorder="1" applyAlignment="1">
      <alignment horizontal="center"/>
    </xf>
    <xf numFmtId="0" fontId="3" fillId="0" borderId="74" xfId="0" applyFont="1" applyBorder="1"/>
    <xf numFmtId="0" fontId="3" fillId="0" borderId="66" xfId="0" applyFont="1" applyBorder="1"/>
    <xf numFmtId="0" fontId="3" fillId="0" borderId="64" xfId="0" applyFont="1" applyBorder="1"/>
    <xf numFmtId="0" fontId="27" fillId="35" borderId="84" xfId="0" applyFont="1" applyFill="1" applyBorder="1" applyAlignment="1">
      <alignment horizontal="center" vertical="center" wrapText="1"/>
    </xf>
    <xf numFmtId="0" fontId="3" fillId="0" borderId="45" xfId="0" applyFont="1" applyBorder="1"/>
    <xf numFmtId="0" fontId="27" fillId="8" borderId="84" xfId="0" applyFont="1" applyFill="1" applyBorder="1" applyAlignment="1">
      <alignment horizontal="center" vertical="center" wrapText="1"/>
    </xf>
    <xf numFmtId="0" fontId="27" fillId="34" borderId="84" xfId="0" applyFont="1" applyFill="1" applyBorder="1" applyAlignment="1">
      <alignment horizontal="center" vertical="center" wrapText="1"/>
    </xf>
    <xf numFmtId="0" fontId="27" fillId="31" borderId="84" xfId="0" applyFont="1" applyFill="1" applyBorder="1" applyAlignment="1">
      <alignment horizontal="center" vertical="center" wrapText="1"/>
    </xf>
    <xf numFmtId="0" fontId="34" fillId="17" borderId="100" xfId="0" applyFont="1" applyFill="1" applyBorder="1" applyAlignment="1">
      <alignment horizontal="center" vertical="center"/>
    </xf>
    <xf numFmtId="0" fontId="3" fillId="0" borderId="101" xfId="0" applyFont="1" applyBorder="1"/>
    <xf numFmtId="168" fontId="35" fillId="15" borderId="11" xfId="0" applyNumberFormat="1" applyFont="1" applyFill="1" applyBorder="1" applyAlignment="1">
      <alignment horizontal="center" vertical="center"/>
    </xf>
    <xf numFmtId="0" fontId="27" fillId="17" borderId="7" xfId="0" applyFont="1" applyFill="1" applyBorder="1" applyAlignment="1">
      <alignment horizontal="center" vertical="center"/>
    </xf>
    <xf numFmtId="0" fontId="3" fillId="4" borderId="24" xfId="0" applyFont="1" applyFill="1" applyBorder="1"/>
    <xf numFmtId="0" fontId="27" fillId="17" borderId="9" xfId="0" applyFont="1" applyFill="1" applyBorder="1" applyAlignment="1">
      <alignment horizontal="center" vertical="center"/>
    </xf>
    <xf numFmtId="0" fontId="3" fillId="4" borderId="29" xfId="0" applyFont="1" applyFill="1" applyBorder="1"/>
    <xf numFmtId="0" fontId="27" fillId="35" borderId="125" xfId="0" applyFont="1" applyFill="1" applyBorder="1" applyAlignment="1">
      <alignment horizontal="center" vertical="center"/>
    </xf>
    <xf numFmtId="0" fontId="3" fillId="0" borderId="141" xfId="0" applyFont="1" applyBorder="1"/>
    <xf numFmtId="0" fontId="27" fillId="35" borderId="103" xfId="0" applyFont="1" applyFill="1" applyBorder="1" applyAlignment="1">
      <alignment horizontal="center" vertical="center"/>
    </xf>
    <xf numFmtId="0" fontId="3" fillId="0" borderId="117" xfId="0" applyFont="1" applyBorder="1"/>
    <xf numFmtId="0" fontId="22" fillId="36" borderId="84" xfId="0" applyFont="1" applyFill="1" applyBorder="1" applyAlignment="1">
      <alignment horizontal="center" vertical="center" wrapText="1"/>
    </xf>
    <xf numFmtId="0" fontId="27" fillId="35" borderId="143" xfId="0" applyFont="1" applyFill="1" applyBorder="1" applyAlignment="1">
      <alignment horizontal="center" vertical="center" wrapText="1"/>
    </xf>
    <xf numFmtId="0" fontId="3" fillId="0" borderId="102" xfId="0" applyFont="1" applyBorder="1"/>
    <xf numFmtId="0" fontId="27" fillId="7" borderId="84" xfId="0" applyFont="1" applyFill="1" applyBorder="1" applyAlignment="1">
      <alignment horizontal="center" vertical="center" wrapText="1"/>
    </xf>
    <xf numFmtId="170" fontId="8" fillId="0" borderId="86" xfId="0" applyNumberFormat="1" applyFont="1" applyFill="1" applyBorder="1" applyAlignment="1">
      <alignment horizontal="center" vertical="center"/>
    </xf>
    <xf numFmtId="0" fontId="47" fillId="0" borderId="86" xfId="0" applyFont="1" applyFill="1" applyBorder="1" applyAlignment="1">
      <alignment vertical="center"/>
    </xf>
    <xf numFmtId="164" fontId="9" fillId="0" borderId="86" xfId="0" applyNumberFormat="1" applyFont="1" applyFill="1" applyBorder="1" applyAlignment="1">
      <alignment vertical="center"/>
    </xf>
    <xf numFmtId="168" fontId="9" fillId="0" borderId="86" xfId="0" applyNumberFormat="1" applyFont="1" applyFill="1" applyBorder="1" applyAlignment="1">
      <alignment vertical="center"/>
    </xf>
    <xf numFmtId="164" fontId="9" fillId="0" borderId="86" xfId="0" applyNumberFormat="1" applyFont="1" applyFill="1" applyBorder="1" applyAlignment="1">
      <alignment horizontal="center" vertical="center"/>
    </xf>
    <xf numFmtId="49" fontId="8" fillId="0" borderId="86" xfId="0" applyNumberFormat="1" applyFont="1" applyFill="1" applyBorder="1" applyAlignment="1">
      <alignment horizontal="center" vertical="center" wrapText="1"/>
    </xf>
    <xf numFmtId="0" fontId="47" fillId="0" borderId="86" xfId="0" applyFont="1" applyFill="1" applyBorder="1" applyAlignment="1">
      <alignment horizontal="center" vertical="center"/>
    </xf>
    <xf numFmtId="0" fontId="47" fillId="0" borderId="86" xfId="0" applyFont="1" applyFill="1" applyBorder="1" applyAlignment="1">
      <alignment horizontal="left" vertical="center"/>
    </xf>
    <xf numFmtId="49" fontId="8" fillId="0" borderId="86" xfId="0" applyNumberFormat="1" applyFont="1" applyFill="1" applyBorder="1" applyAlignment="1">
      <alignment horizontal="left" vertical="top" wrapText="1"/>
    </xf>
    <xf numFmtId="49" fontId="8" fillId="0" borderId="86" xfId="0" applyNumberFormat="1" applyFont="1" applyFill="1" applyBorder="1" applyAlignment="1">
      <alignment horizontal="left" vertical="center" wrapText="1"/>
    </xf>
    <xf numFmtId="16" fontId="38" fillId="0" borderId="86" xfId="0" applyNumberFormat="1" applyFont="1" applyFill="1" applyBorder="1" applyAlignment="1">
      <alignment horizontal="right" vertical="center"/>
    </xf>
    <xf numFmtId="0" fontId="10" fillId="0" borderId="86" xfId="0" applyFont="1" applyFill="1" applyBorder="1" applyAlignment="1">
      <alignment horizontal="left" vertical="center"/>
    </xf>
    <xf numFmtId="164" fontId="38" fillId="0" borderId="86" xfId="0" applyNumberFormat="1" applyFont="1" applyFill="1" applyBorder="1" applyAlignment="1">
      <alignment horizontal="right" vertical="center"/>
    </xf>
    <xf numFmtId="0" fontId="39" fillId="0" borderId="86" xfId="0" applyFont="1" applyFill="1" applyBorder="1" applyAlignment="1">
      <alignment vertical="center" wrapText="1"/>
    </xf>
    <xf numFmtId="0" fontId="38" fillId="0" borderId="86" xfId="0" applyFont="1" applyFill="1" applyBorder="1" applyAlignment="1">
      <alignment vertical="center"/>
    </xf>
    <xf numFmtId="169" fontId="38" fillId="0" borderId="86" xfId="0" applyNumberFormat="1" applyFont="1" applyFill="1" applyBorder="1" applyAlignment="1">
      <alignment vertical="center"/>
    </xf>
    <xf numFmtId="164" fontId="38" fillId="0" borderId="86" xfId="0" applyNumberFormat="1" applyFont="1" applyFill="1" applyBorder="1" applyAlignment="1">
      <alignment vertical="center"/>
    </xf>
    <xf numFmtId="0" fontId="38" fillId="0" borderId="86" xfId="0" applyFont="1" applyFill="1" applyBorder="1" applyAlignment="1">
      <alignment horizontal="left" vertical="center"/>
    </xf>
    <xf numFmtId="169" fontId="38" fillId="0" borderId="86" xfId="0" applyNumberFormat="1" applyFont="1" applyFill="1" applyBorder="1" applyAlignment="1">
      <alignment horizontal="right" vertical="center"/>
    </xf>
    <xf numFmtId="16" fontId="38" fillId="0" borderId="86" xfId="0" applyNumberFormat="1" applyFont="1" applyFill="1" applyBorder="1" applyAlignment="1">
      <alignment horizontal="left" vertical="center"/>
    </xf>
    <xf numFmtId="0" fontId="39" fillId="0" borderId="86" xfId="0" applyFont="1" applyFill="1" applyBorder="1" applyAlignment="1">
      <alignment wrapText="1"/>
    </xf>
    <xf numFmtId="16" fontId="16" fillId="0" borderId="86" xfId="0" applyNumberFormat="1" applyFont="1" applyFill="1" applyBorder="1" applyAlignment="1">
      <alignment horizontal="left" vertical="center"/>
    </xf>
    <xf numFmtId="164" fontId="16" fillId="0" borderId="86" xfId="0" applyNumberFormat="1" applyFont="1" applyFill="1" applyBorder="1" applyAlignment="1">
      <alignment horizontal="right" vertical="center"/>
    </xf>
    <xf numFmtId="173" fontId="38" fillId="0" borderId="86" xfId="0" applyNumberFormat="1" applyFont="1" applyFill="1" applyBorder="1" applyAlignment="1">
      <alignment horizontal="right" vertical="center"/>
    </xf>
    <xf numFmtId="171" fontId="38" fillId="0" borderId="86" xfId="0" applyNumberFormat="1" applyFont="1" applyFill="1" applyBorder="1" applyAlignment="1">
      <alignment horizontal="right" vertical="top"/>
    </xf>
    <xf numFmtId="0" fontId="39" fillId="0" borderId="86" xfId="0" applyFont="1" applyFill="1" applyBorder="1" applyAlignment="1">
      <alignment horizontal="left" wrapText="1"/>
    </xf>
    <xf numFmtId="170" fontId="38" fillId="0" borderId="86" xfId="0" applyNumberFormat="1" applyFont="1" applyBorder="1" applyAlignment="1">
      <alignment horizontal="right" vertical="center"/>
    </xf>
    <xf numFmtId="0" fontId="30" fillId="0" borderId="42" xfId="0" applyFont="1" applyFill="1" applyBorder="1" applyAlignment="1">
      <alignment horizontal="center" vertical="center"/>
    </xf>
    <xf numFmtId="0" fontId="30" fillId="0" borderId="18" xfId="0" applyFont="1" applyFill="1" applyBorder="1" applyAlignment="1">
      <alignment horizontal="center" vertical="center"/>
    </xf>
    <xf numFmtId="0" fontId="33" fillId="0" borderId="68" xfId="0" applyFont="1" applyFill="1" applyBorder="1" applyAlignment="1">
      <alignment horizontal="center" vertical="center"/>
    </xf>
    <xf numFmtId="0" fontId="33" fillId="0" borderId="122" xfId="0" applyFont="1" applyFill="1" applyBorder="1" applyAlignment="1">
      <alignment horizontal="center" vertical="center"/>
    </xf>
    <xf numFmtId="0" fontId="29" fillId="0" borderId="83" xfId="0" applyFont="1" applyFill="1" applyBorder="1"/>
    <xf numFmtId="0" fontId="33" fillId="0" borderId="145" xfId="0" applyFont="1" applyFill="1" applyBorder="1" applyAlignment="1">
      <alignment horizontal="center" vertical="center"/>
    </xf>
    <xf numFmtId="0" fontId="33" fillId="0" borderId="95" xfId="0" applyFont="1" applyFill="1" applyBorder="1" applyAlignment="1">
      <alignment horizontal="center" vertical="center"/>
    </xf>
    <xf numFmtId="0" fontId="33" fillId="0" borderId="98" xfId="0" applyFont="1" applyFill="1" applyBorder="1" applyAlignment="1">
      <alignment horizontal="center" vertical="center"/>
    </xf>
    <xf numFmtId="0" fontId="33" fillId="0" borderId="89" xfId="0" applyFont="1" applyFill="1" applyBorder="1" applyAlignment="1">
      <alignment horizontal="center" vertical="center"/>
    </xf>
    <xf numFmtId="0" fontId="30" fillId="0" borderId="83" xfId="0" applyFont="1" applyFill="1" applyBorder="1" applyAlignment="1">
      <alignment horizontal="center" vertical="center"/>
    </xf>
    <xf numFmtId="0" fontId="30" fillId="0" borderId="94" xfId="0" applyFont="1" applyFill="1" applyBorder="1" applyAlignment="1">
      <alignment horizontal="center" vertical="center"/>
    </xf>
    <xf numFmtId="0" fontId="33" fillId="0" borderId="99" xfId="0" applyFont="1" applyFill="1" applyBorder="1" applyAlignment="1">
      <alignment horizontal="center" vertical="center"/>
    </xf>
    <xf numFmtId="0" fontId="33" fillId="0" borderId="111" xfId="0" applyFont="1" applyFill="1" applyBorder="1" applyAlignment="1">
      <alignment horizontal="center" vertical="center"/>
    </xf>
    <xf numFmtId="0" fontId="30" fillId="0" borderId="146" xfId="0" applyFont="1" applyFill="1" applyBorder="1" applyAlignment="1">
      <alignment horizontal="center" vertical="center"/>
    </xf>
    <xf numFmtId="0" fontId="33" fillId="0" borderId="85" xfId="0" applyFont="1" applyFill="1" applyBorder="1" applyAlignment="1">
      <alignment horizontal="center" vertical="center"/>
    </xf>
    <xf numFmtId="0" fontId="27" fillId="0" borderId="68" xfId="0" applyFont="1" applyFill="1" applyBorder="1" applyAlignment="1">
      <alignment horizontal="center" vertical="center"/>
    </xf>
    <xf numFmtId="0" fontId="30" fillId="0" borderId="89" xfId="0" applyFont="1" applyFill="1" applyBorder="1" applyAlignment="1">
      <alignment horizontal="center" vertical="center"/>
    </xf>
    <xf numFmtId="0" fontId="30" fillId="0" borderId="85" xfId="0" applyFont="1" applyFill="1" applyBorder="1" applyAlignment="1">
      <alignment horizontal="center" vertical="center"/>
    </xf>
    <xf numFmtId="0" fontId="30" fillId="0" borderId="111" xfId="0" applyFont="1" applyFill="1" applyBorder="1" applyAlignment="1">
      <alignment horizontal="center" vertical="center"/>
    </xf>
    <xf numFmtId="0" fontId="30" fillId="0" borderId="68" xfId="0" applyFont="1" applyFill="1" applyBorder="1" applyAlignment="1">
      <alignment horizontal="center" vertical="center"/>
    </xf>
    <xf numFmtId="0" fontId="27" fillId="0" borderId="28" xfId="0" applyFont="1" applyFill="1" applyBorder="1" applyAlignment="1">
      <alignment horizontal="center" vertical="center"/>
    </xf>
    <xf numFmtId="0" fontId="30" fillId="0" borderId="110" xfId="0" applyFont="1" applyFill="1" applyBorder="1" applyAlignment="1">
      <alignment horizontal="center" vertical="center"/>
    </xf>
    <xf numFmtId="0" fontId="27" fillId="0" borderId="85" xfId="0" applyFont="1" applyFill="1" applyBorder="1" applyAlignment="1">
      <alignment horizontal="center" vertical="center"/>
    </xf>
    <xf numFmtId="0" fontId="27" fillId="0" borderId="95" xfId="0" applyFont="1" applyFill="1" applyBorder="1" applyAlignment="1">
      <alignment horizontal="center" vertical="center"/>
    </xf>
    <xf numFmtId="0" fontId="30" fillId="0" borderId="56" xfId="0" applyFont="1" applyFill="1" applyBorder="1" applyAlignment="1">
      <alignment horizontal="center" vertical="center"/>
    </xf>
    <xf numFmtId="0" fontId="31" fillId="0" borderId="83" xfId="0" applyFont="1" applyFill="1" applyBorder="1" applyAlignment="1">
      <alignment horizontal="center" vertical="center"/>
    </xf>
    <xf numFmtId="0" fontId="33" fillId="0" borderId="133" xfId="0" applyFont="1" applyFill="1" applyBorder="1" applyAlignment="1">
      <alignment horizontal="center" vertical="center"/>
    </xf>
    <xf numFmtId="0" fontId="30" fillId="0" borderId="137" xfId="0" applyFont="1" applyFill="1" applyBorder="1" applyAlignment="1">
      <alignment horizontal="center" vertical="center"/>
    </xf>
    <xf numFmtId="0" fontId="30" fillId="0" borderId="128" xfId="0" applyFont="1" applyFill="1" applyBorder="1" applyAlignment="1">
      <alignment horizontal="center" vertical="center"/>
    </xf>
    <xf numFmtId="0" fontId="40" fillId="0" borderId="90" xfId="0" applyFont="1" applyFill="1" applyBorder="1" applyAlignment="1">
      <alignment horizontal="center" vertical="center"/>
    </xf>
    <xf numFmtId="0" fontId="33" fillId="0" borderId="42" xfId="0" applyFont="1" applyFill="1" applyBorder="1" applyAlignment="1">
      <alignment horizontal="center" vertical="center"/>
    </xf>
    <xf numFmtId="0" fontId="30" fillId="0" borderId="138" xfId="0" applyFont="1" applyFill="1" applyBorder="1" applyAlignment="1">
      <alignment horizontal="center" vertical="center"/>
    </xf>
    <xf numFmtId="0" fontId="30" fillId="0" borderId="130" xfId="0" applyFont="1" applyFill="1" applyBorder="1" applyAlignment="1">
      <alignment horizontal="center" vertical="center"/>
    </xf>
    <xf numFmtId="0" fontId="27" fillId="0" borderId="89" xfId="0" applyFont="1" applyFill="1" applyBorder="1" applyAlignment="1">
      <alignment horizontal="center" vertical="center"/>
    </xf>
    <xf numFmtId="0" fontId="42" fillId="0" borderId="17" xfId="0" applyFont="1" applyFill="1" applyBorder="1" applyAlignment="1">
      <alignment vertical="top"/>
    </xf>
    <xf numFmtId="0" fontId="3" fillId="0" borderId="17" xfId="0" applyFont="1" applyFill="1" applyBorder="1"/>
    <xf numFmtId="0" fontId="42" fillId="0" borderId="120" xfId="0" applyFont="1" applyFill="1" applyBorder="1" applyAlignment="1">
      <alignment vertical="top"/>
    </xf>
    <xf numFmtId="0" fontId="3" fillId="0" borderId="121" xfId="0" applyFont="1" applyFill="1" applyBorder="1"/>
    <xf numFmtId="0" fontId="3" fillId="0" borderId="22" xfId="0" applyFont="1" applyFill="1" applyBorder="1"/>
    <xf numFmtId="0" fontId="42" fillId="0" borderId="46" xfId="0" applyFont="1" applyFill="1" applyBorder="1" applyAlignment="1">
      <alignment vertical="top" wrapText="1"/>
    </xf>
    <xf numFmtId="49" fontId="42" fillId="0" borderId="115" xfId="0" applyNumberFormat="1" applyFont="1" applyFill="1" applyBorder="1" applyAlignment="1">
      <alignment vertical="top" wrapText="1"/>
    </xf>
    <xf numFmtId="49" fontId="42" fillId="0" borderId="116" xfId="0" applyNumberFormat="1" applyFont="1" applyFill="1" applyBorder="1" applyAlignment="1">
      <alignment vertical="top" wrapText="1"/>
    </xf>
    <xf numFmtId="49" fontId="36" fillId="0" borderId="46" xfId="0" applyNumberFormat="1" applyFont="1" applyFill="1" applyBorder="1" applyAlignment="1">
      <alignment vertical="top" wrapText="1"/>
    </xf>
    <xf numFmtId="0" fontId="42" fillId="0" borderId="17" xfId="0" applyFont="1" applyFill="1" applyBorder="1" applyAlignment="1">
      <alignment vertical="top" wrapText="1"/>
    </xf>
    <xf numFmtId="0" fontId="42" fillId="0" borderId="22" xfId="0" applyFont="1" applyFill="1" applyBorder="1" applyAlignment="1">
      <alignment vertical="top" wrapText="1"/>
    </xf>
  </cellXfs>
  <cellStyles count="2">
    <cellStyle name="Normal" xfId="0" builtinId="0"/>
    <cellStyle name="Pourcentage" xfId="1" builtinId="5"/>
  </cellStyles>
  <dxfs count="4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164" formatCode="_-* #,##0.00\ _€_-;\-* #,##0.00\ _€_-;_-* &quot;-&quot;??\ _€_-;_-@_-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numFmt numFmtId="168" formatCode="_(* #,##0.00_)\ _);\-\ #,##0.00\ _);_(* &quot;-&quot;??_)\ _);_(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numFmt numFmtId="168" formatCode="_(* #,##0.00_)\ _);\-\ #,##0.00\ _);_(* &quot;-&quot;??_)\ _);_(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</font>
      <numFmt numFmtId="168" formatCode="_(* #,##0.00_)\ _);\-\ #,##0.00\ _);_(* &quot;-&quot;??_)\ _);_(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6"/>
        <name val="Calibri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6" tint="0.39997558519241921"/>
        </patternFill>
      </fill>
      <border diagonalUp="0" diagonalDown="0">
        <left style="medium">
          <color indexed="64"/>
        </left>
      </border>
    </dxf>
    <dxf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</border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numFmt numFmtId="164" formatCode="_-* #,##0.00\ _€_-;\-* #,##0.00\ _€_-;_-* &quot;-&quot;??\ _€_-;_-@_-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numFmt numFmtId="164" formatCode="_-* #,##0.00\ _€_-;\-* #,##0.00\ _€_-;_-* &quot;-&quot;??\ _€_-;_-@_-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numFmt numFmtId="164" formatCode="_-* #,##0.00\ _€_-;\-* #,##0.00\ _€_-;_-* &quot;-&quot;??\ _€_-;_-@_-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  <numFmt numFmtId="164" formatCode="_-* #,##0.00\ _€_-;\-* #,##0.00\ _€_-;_-* &quot;-&quot;??\ _€_-;_-@_-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164" formatCode="_-* #,##0.00\ _€_-;\-* #,##0.00\ _€_-;_-* &quot;-&quot;??\ _€_-;_-@_-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_-* #,##0.00\ _€_-;\-* #,##0.00\ _€_-;_-* &quot;-&quot;??\ _€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  <numFmt numFmtId="164" formatCode="_-* #,##0.00\ _€_-;\-* #,##0.00\ _€_-;_-* &quot;-&quot;??\ _€_-;_-@_-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164" formatCode="_-* #,##0.00\ _€_-;\-* #,##0.00\ _€_-;_-* &quot;-&quot;??\ _€_-;_-@_-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</font>
      <numFmt numFmtId="164" formatCode="_-* #,##0.00\ _€_-;\-* #,##0.00\ _€_-;_-* &quot;-&quot;??\ _€_-;_-@_-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_-* #,##0.00\ _€_-;\-* #,##0.00\ _€_-;_-* &quot;-&quot;??\ _€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  <numFmt numFmtId="164" formatCode="_-* #,##0.00\ _€_-;\-* #,##0.00\ _€_-;_-* &quot;-&quot;??\ _€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4" defaultTableStyle="TableStyleMedium2" defaultPivotStyle="PivotStyleLight16">
    <tableStyle name="CAISSE-COFFRE-style" pivot="0" count="3" xr9:uid="{00000000-0011-0000-FFFF-FFFF00000000}">
      <tableStyleElement type="headerRow" dxfId="48"/>
      <tableStyleElement type="firstRowStripe" dxfId="47"/>
      <tableStyleElement type="secondRowStripe" dxfId="46"/>
    </tableStyle>
    <tableStyle name="FOURNISSEURS-style" pivot="0" count="3" xr9:uid="{00000000-0011-0000-FFFF-FFFF01000000}">
      <tableStyleElement type="headerRow" dxfId="45"/>
      <tableStyleElement type="firstRowStripe" dxfId="44"/>
      <tableStyleElement type="secondRowStripe" dxfId="43"/>
    </tableStyle>
    <tableStyle name="SOUS-TRAITANTS-style" pivot="0" count="3" xr9:uid="{00000000-0011-0000-FFFF-FFFF02000000}">
      <tableStyleElement type="headerRow" dxfId="42"/>
      <tableStyleElement type="firstRowStripe" dxfId="41"/>
      <tableStyleElement type="secondRowStripe" dxfId="40"/>
    </tableStyle>
    <tableStyle name="RAPPORT DE SALAIRE-style" pivot="0" count="2" xr9:uid="{00000000-0011-0000-FFFF-FFFF03000000}">
      <tableStyleElement type="firstRowStripe" dxfId="39"/>
      <tableStyleElement type="secondRowStripe" dxfId="38"/>
    </tableStyle>
  </tableStyles>
  <colors>
    <mruColors>
      <color rgb="FFFFFFFF"/>
      <color rgb="FFE4DFEC"/>
      <color rgb="FFE06666"/>
      <color rgb="FFFDFD99"/>
      <color rgb="FFF04E06"/>
      <color rgb="FF4DD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I35" headerRowDxfId="37" totalsRowDxfId="34" headerRowBorderDxfId="36" tableBorderDxfId="35">
  <tableColumns count="9">
    <tableColumn id="1" xr3:uid="{00000000-0010-0000-0000-000001000000}" name="DATE" dataDxfId="33"/>
    <tableColumn id="2" xr3:uid="{00000000-0010-0000-0000-000002000000}" name="Caisse CV" dataDxfId="32"/>
    <tableColumn id="8" xr3:uid="{A259977B-C5AD-4D89-95F5-55FE5C999256}" name="Caisse C" dataDxfId="31"/>
    <tableColumn id="3" xr3:uid="{00000000-0010-0000-0000-000003000000}" name="TPE" dataDxfId="30"/>
    <tableColumn id="4" xr3:uid="{00000000-0010-0000-0000-000004000000}" name="Dépenses" dataDxfId="29"/>
    <tableColumn id="5" xr3:uid="{00000000-0010-0000-0000-000005000000}" name="Remboursement" dataDxfId="28"/>
    <tableColumn id="9" xr3:uid="{332C97AB-2AA5-4DA8-BFB2-26F1604FE7C8}" name="Convention Mutuelle" dataDxfId="27"/>
    <tableColumn id="6" xr3:uid="{00000000-0010-0000-0000-000006000000}" name="Sous-Traitants" dataDxfId="26"/>
    <tableColumn id="7" xr3:uid="{00000000-0010-0000-0000-000007000000}" name="Total" dataDxfId="25">
      <calculatedColumnFormula>SUM(Table_1[[#This Row],[Caisse CV]:[Sous-Traitants]])</calculatedColumnFormula>
    </tableColumn>
  </tableColumns>
  <tableStyleInfo name="CAISSE-COFFR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38" headerRowDxfId="24" dataDxfId="22" headerRowBorderDxfId="23" tableBorderDxfId="21">
  <tableColumns count="4">
    <tableColumn id="1" xr3:uid="{00000000-0010-0000-0100-000001000000}" name="FOURNISSEUR LAM" dataDxfId="20"/>
    <tableColumn id="2" xr3:uid="{00000000-0010-0000-0100-000002000000}" name="TOTAL DES COMMANDES " dataDxfId="19"/>
    <tableColumn id="3" xr3:uid="{00000000-0010-0000-0100-000003000000}" name="PAYER " dataDxfId="18"/>
    <tableColumn id="4" xr3:uid="{00000000-0010-0000-0100-000004000000}" name="RESTE " dataDxfId="17">
      <calculatedColumnFormula>+Table_2[[#This Row],[TOTAL DES COMMANDES ]]-Table_2[[#This Row],[PAYER ]]</calculatedColumnFormula>
    </tableColumn>
  </tableColumns>
  <tableStyleInfo name="FOURNISSEUR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I19">
  <tableColumns count="9">
    <tableColumn id="1" xr3:uid="{00000000-0010-0000-0200-000001000000}" name="SOUS-TRAITANTS"/>
    <tableColumn id="2" xr3:uid="{00000000-0010-0000-0200-000002000000}" name="MONTANT"/>
    <tableColumn id="3" xr3:uid="{00000000-0010-0000-0200-000003000000}" name="VERSEMENT"/>
    <tableColumn id="4" xr3:uid="{00000000-0010-0000-0200-000004000000}" name="DATE DE RECEPTION"/>
    <tableColumn id="5" xr3:uid="{00000000-0010-0000-0200-000005000000}" name="MODE PAIEMENT"/>
    <tableColumn id="6" xr3:uid="{00000000-0010-0000-0200-000006000000}" name="RESTE"/>
    <tableColumn id="7" xr3:uid="{00000000-0010-0000-0200-000007000000}" name="RESTE MOIS PRECEDANTS"/>
    <tableColumn id="8" xr3:uid="{00000000-0010-0000-0200-000008000000}" name="RESTE TOTAL"/>
    <tableColumn id="9" xr3:uid="{00000000-0010-0000-0200-000009000000}" name="REMARQUES"/>
  </tableColumns>
  <tableStyleInfo name="SOUS-TRAITAN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695E65-E03B-4450-8A76-0F80512533F4}" name="Table_36" displayName="Table_36" ref="A24:I27" headerRowDxfId="16">
  <tableColumns count="9">
    <tableColumn id="1" xr3:uid="{B830AC2A-ACBA-4A56-A4F8-274A5B843828}" name="CONVENTION"/>
    <tableColumn id="2" xr3:uid="{1E831E85-3DD4-4F12-ADCB-A31453171F63}" name="MONTANT"/>
    <tableColumn id="3" xr3:uid="{57421533-BA8B-48C3-877E-6210C025FBD3}" name="VERSEMENT"/>
    <tableColumn id="4" xr3:uid="{56107D35-105E-4BF5-AC55-93CF2FDEBD74}" name="DATE DE RECEPTION"/>
    <tableColumn id="5" xr3:uid="{DB63AAF4-B5F5-457A-A7F8-883F8B922D5C}" name="MODE PAIEMENT"/>
    <tableColumn id="6" xr3:uid="{4D2B5536-367B-44BF-A03D-3EFF9BE264E7}" name="RESTE"/>
    <tableColumn id="7" xr3:uid="{B92DF627-4208-4342-A755-4861E96AB4D1}" name="RESTE MOIS PRECEDANTS"/>
    <tableColumn id="8" xr3:uid="{465FD9A6-6EB8-4E83-A798-25557899ADEF}" name="RESTE TOTAL"/>
    <tableColumn id="9" xr3:uid="{5D3EC170-DAB0-4899-849E-F5C4CFC52216}" name="REMARQUES"/>
  </tableColumns>
  <tableStyleInfo name="SOUS-TRAITANT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4:O27" headerRowCount="0">
  <tableColumns count="15">
    <tableColumn id="1" xr3:uid="{00000000-0010-0000-0300-000001000000}" name="Column1" dataDxfId="15"/>
    <tableColumn id="2" xr3:uid="{00000000-0010-0000-0300-000002000000}" name="Column2" dataDxfId="14"/>
    <tableColumn id="3" xr3:uid="{00000000-0010-0000-0300-000003000000}" name="Column3" dataDxfId="13"/>
    <tableColumn id="4" xr3:uid="{00000000-0010-0000-0300-000004000000}" name="Column4" dataDxfId="12"/>
    <tableColumn id="5" xr3:uid="{00000000-0010-0000-0300-000005000000}" name="Column5" dataDxfId="11"/>
    <tableColumn id="6" xr3:uid="{00000000-0010-0000-0300-000006000000}" name="Column6" dataDxfId="10"/>
    <tableColumn id="7" xr3:uid="{00000000-0010-0000-0300-000007000000}" name="Column7" dataDxfId="9"/>
    <tableColumn id="8" xr3:uid="{00000000-0010-0000-0300-000008000000}" name="Column8" dataDxfId="8"/>
    <tableColumn id="9" xr3:uid="{00000000-0010-0000-0300-000009000000}" name="Column9" dataDxfId="7"/>
    <tableColumn id="10" xr3:uid="{00000000-0010-0000-0300-00000A000000}" name="Column10" dataDxfId="6"/>
    <tableColumn id="11" xr3:uid="{00000000-0010-0000-0300-00000B000000}" name="Column11" dataDxfId="5"/>
    <tableColumn id="15" xr3:uid="{BB5C3829-470A-4B34-9C73-01DC5DE58135}" name="Colonne2" dataDxfId="4"/>
    <tableColumn id="12" xr3:uid="{00000000-0010-0000-0300-00000C000000}" name="Column12" dataDxfId="3"/>
    <tableColumn id="13" xr3:uid="{00000000-0010-0000-0300-00000D000000}" name="Column13" dataDxfId="2"/>
    <tableColumn id="14" xr3:uid="{BBE1CB4F-050B-4807-863F-12CCC7BA15EB}" name="Colonne1" dataDxfId="1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F9DED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FAFF"/>
      </a:hlink>
      <a:folHlink>
        <a:srgbClr val="00FA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workbookViewId="0">
      <selection activeCell="M5" sqref="M5:N20"/>
    </sheetView>
  </sheetViews>
  <sheetFormatPr baseColWidth="10" defaultColWidth="14.42578125" defaultRowHeight="15" customHeight="1" x14ac:dyDescent="0.25"/>
  <cols>
    <col min="1" max="1" width="12.5703125" customWidth="1"/>
    <col min="2" max="2" width="74.28515625" customWidth="1"/>
    <col min="3" max="3" width="22.28515625" customWidth="1"/>
    <col min="4" max="4" width="14.7109375" customWidth="1"/>
    <col min="5" max="5" width="19" customWidth="1"/>
    <col min="6" max="6" width="24.85546875" style="129" customWidth="1"/>
    <col min="7" max="7" width="20.28515625" bestFit="1" customWidth="1"/>
    <col min="8" max="8" width="22.140625" customWidth="1"/>
    <col min="9" max="9" width="16.7109375" customWidth="1"/>
    <col min="10" max="10" width="18.28515625" customWidth="1"/>
    <col min="11" max="11" width="92.7109375" customWidth="1"/>
    <col min="13" max="13" width="23.7109375" customWidth="1"/>
    <col min="14" max="14" width="20.5703125" customWidth="1"/>
  </cols>
  <sheetData>
    <row r="1" spans="1:14" ht="15" customHeight="1" x14ac:dyDescent="0.25">
      <c r="A1" s="327" t="s">
        <v>92</v>
      </c>
      <c r="B1" s="328"/>
      <c r="C1" s="328"/>
      <c r="D1" s="1"/>
      <c r="E1" s="329" t="s">
        <v>0</v>
      </c>
      <c r="F1" s="311"/>
      <c r="G1" s="311"/>
      <c r="H1" s="311"/>
      <c r="I1" s="311"/>
      <c r="J1" s="311"/>
      <c r="K1" s="330"/>
      <c r="M1" s="319" t="s">
        <v>93</v>
      </c>
      <c r="N1" s="320"/>
    </row>
    <row r="2" spans="1:14" ht="15.75" customHeight="1" thickBot="1" x14ac:dyDescent="0.3">
      <c r="A2" s="328"/>
      <c r="B2" s="328"/>
      <c r="C2" s="328"/>
      <c r="D2" s="1"/>
      <c r="E2" s="313"/>
      <c r="F2" s="314"/>
      <c r="G2" s="314"/>
      <c r="H2" s="314"/>
      <c r="I2" s="314"/>
      <c r="J2" s="314"/>
      <c r="K2" s="331"/>
      <c r="M2" s="321"/>
      <c r="N2" s="322"/>
    </row>
    <row r="3" spans="1:14" ht="15" customHeight="1" thickBot="1" x14ac:dyDescent="0.3">
      <c r="A3" s="332"/>
      <c r="B3" s="333"/>
      <c r="C3" s="333"/>
      <c r="D3" s="3"/>
      <c r="E3" s="334"/>
      <c r="F3" s="335"/>
      <c r="G3" s="335"/>
      <c r="H3" s="335"/>
      <c r="I3" s="335"/>
      <c r="J3" s="335"/>
      <c r="K3" s="335"/>
      <c r="M3" s="323"/>
      <c r="N3" s="323"/>
    </row>
    <row r="4" spans="1:14" ht="18.75" x14ac:dyDescent="0.3">
      <c r="A4" s="256" t="s">
        <v>1</v>
      </c>
      <c r="B4" s="257" t="s">
        <v>81</v>
      </c>
      <c r="C4" s="257" t="s">
        <v>39</v>
      </c>
      <c r="D4" s="3"/>
      <c r="E4" s="4" t="s">
        <v>3</v>
      </c>
      <c r="F4" s="128" t="s">
        <v>4</v>
      </c>
      <c r="G4" s="5" t="s">
        <v>108</v>
      </c>
      <c r="H4" s="6" t="s">
        <v>5</v>
      </c>
      <c r="I4" s="7" t="s">
        <v>6</v>
      </c>
      <c r="J4" s="8" t="s">
        <v>7</v>
      </c>
      <c r="K4" s="240" t="s">
        <v>8</v>
      </c>
      <c r="M4" s="219" t="s">
        <v>4</v>
      </c>
      <c r="N4" s="220" t="s">
        <v>94</v>
      </c>
    </row>
    <row r="5" spans="1:14" ht="15.75" x14ac:dyDescent="0.25">
      <c r="A5" s="212"/>
      <c r="B5" s="154"/>
      <c r="C5" s="155"/>
      <c r="D5" s="9"/>
      <c r="E5" s="457"/>
      <c r="F5" s="458"/>
      <c r="G5" s="459"/>
      <c r="H5" s="459"/>
      <c r="I5" s="460"/>
      <c r="J5" s="461"/>
      <c r="K5" s="462"/>
      <c r="M5" s="154"/>
      <c r="N5" s="155"/>
    </row>
    <row r="6" spans="1:14" ht="15.75" x14ac:dyDescent="0.25">
      <c r="A6" s="212"/>
      <c r="B6" s="154"/>
      <c r="C6" s="155"/>
      <c r="D6" s="10"/>
      <c r="E6" s="457"/>
      <c r="F6" s="463"/>
      <c r="G6" s="459"/>
      <c r="H6" s="459"/>
      <c r="I6" s="460"/>
      <c r="J6" s="461"/>
      <c r="K6" s="462"/>
      <c r="M6" s="154"/>
      <c r="N6" s="155"/>
    </row>
    <row r="7" spans="1:14" ht="15.75" x14ac:dyDescent="0.25">
      <c r="A7" s="211"/>
      <c r="B7" s="154"/>
      <c r="C7" s="155"/>
      <c r="D7" s="11"/>
      <c r="E7" s="457"/>
      <c r="F7" s="463"/>
      <c r="G7" s="459"/>
      <c r="H7" s="459"/>
      <c r="I7" s="460"/>
      <c r="J7" s="461"/>
      <c r="K7" s="462"/>
      <c r="M7" s="154"/>
      <c r="N7" s="155"/>
    </row>
    <row r="8" spans="1:14" ht="15.75" x14ac:dyDescent="0.25">
      <c r="A8" s="212"/>
      <c r="B8" s="154"/>
      <c r="C8" s="155"/>
      <c r="D8" s="10"/>
      <c r="E8" s="457"/>
      <c r="F8" s="463"/>
      <c r="G8" s="459"/>
      <c r="H8" s="459"/>
      <c r="I8" s="460"/>
      <c r="J8" s="461"/>
      <c r="K8" s="462"/>
      <c r="M8" s="154"/>
      <c r="N8" s="155"/>
    </row>
    <row r="9" spans="1:14" ht="15.75" x14ac:dyDescent="0.25">
      <c r="A9" s="212"/>
      <c r="B9" s="154"/>
      <c r="C9" s="155"/>
      <c r="D9" s="10"/>
      <c r="E9" s="457"/>
      <c r="F9" s="458"/>
      <c r="G9" s="459"/>
      <c r="H9" s="459"/>
      <c r="I9" s="460"/>
      <c r="J9" s="461"/>
      <c r="K9" s="462"/>
      <c r="M9" s="154"/>
      <c r="N9" s="155"/>
    </row>
    <row r="10" spans="1:14" ht="15.75" customHeight="1" x14ac:dyDescent="0.25">
      <c r="A10" s="212"/>
      <c r="B10" s="154"/>
      <c r="C10" s="155"/>
      <c r="D10" s="10"/>
      <c r="E10" s="457"/>
      <c r="F10" s="463"/>
      <c r="G10" s="459"/>
      <c r="H10" s="459"/>
      <c r="I10" s="460"/>
      <c r="J10" s="461"/>
      <c r="K10" s="462"/>
      <c r="M10" s="154"/>
      <c r="N10" s="155"/>
    </row>
    <row r="11" spans="1:14" ht="15.75" x14ac:dyDescent="0.25">
      <c r="A11" s="212"/>
      <c r="B11" s="154"/>
      <c r="C11" s="155"/>
      <c r="D11" s="10"/>
      <c r="E11" s="457"/>
      <c r="F11" s="463"/>
      <c r="G11" s="459"/>
      <c r="H11" s="459"/>
      <c r="I11" s="460"/>
      <c r="J11" s="461"/>
      <c r="K11" s="462"/>
      <c r="M11" s="154"/>
      <c r="N11" s="155"/>
    </row>
    <row r="12" spans="1:14" ht="15.75" x14ac:dyDescent="0.25">
      <c r="A12" s="212"/>
      <c r="B12" s="154"/>
      <c r="C12" s="155"/>
      <c r="D12" s="10"/>
      <c r="E12" s="457"/>
      <c r="F12" s="464"/>
      <c r="G12" s="459"/>
      <c r="H12" s="459"/>
      <c r="I12" s="460"/>
      <c r="J12" s="461"/>
      <c r="K12" s="462"/>
      <c r="M12" s="222"/>
      <c r="N12" s="221"/>
    </row>
    <row r="13" spans="1:14" ht="18.75" x14ac:dyDescent="0.25">
      <c r="A13" s="324"/>
      <c r="B13" s="324"/>
      <c r="C13" s="324"/>
      <c r="D13" s="10"/>
      <c r="E13" s="457"/>
      <c r="F13" s="463"/>
      <c r="G13" s="459"/>
      <c r="H13" s="459"/>
      <c r="I13" s="460"/>
      <c r="J13" s="461"/>
      <c r="K13" s="462"/>
      <c r="M13" s="222"/>
      <c r="N13" s="221"/>
    </row>
    <row r="14" spans="1:14" ht="15.75" x14ac:dyDescent="0.25">
      <c r="A14" s="336" t="s">
        <v>9</v>
      </c>
      <c r="B14" s="326"/>
      <c r="C14" s="325">
        <f>SUM(C5:C12)</f>
        <v>0</v>
      </c>
      <c r="D14" s="10"/>
      <c r="E14" s="457"/>
      <c r="F14" s="464"/>
      <c r="G14" s="459"/>
      <c r="H14" s="459"/>
      <c r="I14" s="460"/>
      <c r="J14" s="461"/>
      <c r="K14" s="462"/>
      <c r="M14" s="222"/>
      <c r="N14" s="221"/>
    </row>
    <row r="15" spans="1:14" ht="15.75" customHeight="1" x14ac:dyDescent="0.25">
      <c r="A15" s="326"/>
      <c r="B15" s="326"/>
      <c r="C15" s="326"/>
      <c r="D15" s="10"/>
      <c r="E15" s="457"/>
      <c r="F15" s="463"/>
      <c r="G15" s="459"/>
      <c r="H15" s="459"/>
      <c r="I15" s="460"/>
      <c r="J15" s="461"/>
      <c r="K15" s="462"/>
      <c r="M15" s="222"/>
      <c r="N15" s="221"/>
    </row>
    <row r="16" spans="1:14" ht="15.75" x14ac:dyDescent="0.25">
      <c r="A16" s="3"/>
      <c r="B16" s="3"/>
      <c r="D16" s="10"/>
      <c r="E16" s="457"/>
      <c r="F16" s="464"/>
      <c r="G16" s="459"/>
      <c r="H16" s="459"/>
      <c r="I16" s="460"/>
      <c r="J16" s="461"/>
      <c r="K16" s="462"/>
      <c r="M16" s="222"/>
      <c r="N16" s="221"/>
    </row>
    <row r="17" spans="1:14" ht="15.75" x14ac:dyDescent="0.25">
      <c r="A17" s="3"/>
      <c r="B17" s="3"/>
      <c r="D17" s="10"/>
      <c r="E17" s="457"/>
      <c r="F17" s="464"/>
      <c r="G17" s="459"/>
      <c r="H17" s="459"/>
      <c r="I17" s="460"/>
      <c r="J17" s="461"/>
      <c r="K17" s="462"/>
      <c r="M17" s="222"/>
      <c r="N17" s="221"/>
    </row>
    <row r="18" spans="1:14" ht="15.75" x14ac:dyDescent="0.25">
      <c r="A18" s="12"/>
      <c r="B18" s="13"/>
      <c r="C18" s="3"/>
      <c r="D18" s="3"/>
      <c r="E18" s="457"/>
      <c r="F18" s="464"/>
      <c r="G18" s="459"/>
      <c r="H18" s="459"/>
      <c r="I18" s="460"/>
      <c r="J18" s="461"/>
      <c r="K18" s="462"/>
      <c r="M18" s="222"/>
      <c r="N18" s="221"/>
    </row>
    <row r="19" spans="1:14" ht="15.75" x14ac:dyDescent="0.25">
      <c r="B19" s="13"/>
      <c r="C19" s="3"/>
      <c r="D19" s="10"/>
      <c r="E19" s="457"/>
      <c r="F19" s="464"/>
      <c r="G19" s="459"/>
      <c r="H19" s="459"/>
      <c r="I19" s="460"/>
      <c r="J19" s="461"/>
      <c r="K19" s="462"/>
      <c r="M19" s="222"/>
      <c r="N19" s="221"/>
    </row>
    <row r="20" spans="1:14" ht="15.75" x14ac:dyDescent="0.25">
      <c r="B20" s="13"/>
      <c r="C20" s="3"/>
      <c r="D20" s="10"/>
      <c r="E20" s="457"/>
      <c r="F20" s="464"/>
      <c r="G20" s="459"/>
      <c r="H20" s="459"/>
      <c r="I20" s="460"/>
      <c r="J20" s="461"/>
      <c r="K20" s="462"/>
      <c r="M20" s="222"/>
      <c r="N20" s="221"/>
    </row>
    <row r="21" spans="1:14" ht="15.75" x14ac:dyDescent="0.25">
      <c r="B21" s="13"/>
      <c r="C21" s="3"/>
      <c r="D21" s="3"/>
      <c r="E21" s="457"/>
      <c r="F21" s="464"/>
      <c r="G21" s="459"/>
      <c r="H21" s="459"/>
      <c r="I21" s="460"/>
      <c r="J21" s="461"/>
      <c r="K21" s="462"/>
    </row>
    <row r="22" spans="1:14" ht="15.75" x14ac:dyDescent="0.25">
      <c r="B22" s="13"/>
      <c r="C22" s="3"/>
      <c r="D22" s="3"/>
      <c r="E22" s="457"/>
      <c r="F22" s="464"/>
      <c r="G22" s="459"/>
      <c r="H22" s="459"/>
      <c r="I22" s="460"/>
      <c r="J22" s="461"/>
      <c r="K22" s="462"/>
    </row>
    <row r="23" spans="1:14" ht="15.75" x14ac:dyDescent="0.25">
      <c r="B23" s="13"/>
      <c r="C23" s="3"/>
      <c r="D23" s="10"/>
      <c r="E23" s="457"/>
      <c r="F23" s="464"/>
      <c r="G23" s="459"/>
      <c r="H23" s="459"/>
      <c r="I23" s="460"/>
      <c r="J23" s="461"/>
      <c r="K23" s="462"/>
    </row>
    <row r="24" spans="1:14" ht="15.75" x14ac:dyDescent="0.25">
      <c r="B24" s="13"/>
      <c r="C24" s="3"/>
      <c r="D24" s="3"/>
      <c r="E24" s="457"/>
      <c r="F24" s="463"/>
      <c r="G24" s="459"/>
      <c r="H24" s="459"/>
      <c r="I24" s="460"/>
      <c r="J24" s="461"/>
      <c r="K24" s="462"/>
    </row>
    <row r="25" spans="1:14" ht="15.75" x14ac:dyDescent="0.25">
      <c r="B25" s="13"/>
      <c r="C25" s="3"/>
      <c r="D25" s="10"/>
      <c r="E25" s="457"/>
      <c r="F25" s="458"/>
      <c r="G25" s="459"/>
      <c r="H25" s="459"/>
      <c r="I25" s="460"/>
      <c r="J25" s="461"/>
      <c r="K25" s="462"/>
    </row>
    <row r="26" spans="1:14" ht="18.75" x14ac:dyDescent="0.25">
      <c r="B26" s="13"/>
      <c r="C26" s="14"/>
      <c r="D26" s="10"/>
      <c r="E26" s="457"/>
      <c r="F26" s="464"/>
      <c r="G26" s="459"/>
      <c r="H26" s="459"/>
      <c r="I26" s="460"/>
      <c r="J26" s="461"/>
      <c r="K26" s="465"/>
    </row>
    <row r="27" spans="1:14" ht="15" customHeight="1" x14ac:dyDescent="0.25">
      <c r="B27" s="13"/>
      <c r="C27" s="14"/>
      <c r="D27" s="10"/>
      <c r="E27" s="457"/>
      <c r="F27" s="464"/>
      <c r="G27" s="459"/>
      <c r="H27" s="459"/>
      <c r="I27" s="460"/>
      <c r="J27" s="461"/>
      <c r="K27" s="465"/>
    </row>
    <row r="28" spans="1:14" ht="15" customHeight="1" x14ac:dyDescent="0.25">
      <c r="B28" s="13"/>
      <c r="C28" s="15"/>
      <c r="D28" s="10"/>
      <c r="E28" s="457"/>
      <c r="F28" s="464"/>
      <c r="G28" s="459"/>
      <c r="H28" s="459"/>
      <c r="I28" s="460"/>
      <c r="J28" s="461"/>
      <c r="K28" s="465"/>
    </row>
    <row r="29" spans="1:14" ht="15" customHeight="1" x14ac:dyDescent="0.25">
      <c r="B29" s="13"/>
      <c r="C29" s="15"/>
      <c r="D29" s="10"/>
      <c r="E29" s="457"/>
      <c r="F29" s="458"/>
      <c r="G29" s="459"/>
      <c r="H29" s="459"/>
      <c r="I29" s="460"/>
      <c r="J29" s="461"/>
      <c r="K29" s="462"/>
    </row>
    <row r="30" spans="1:14" ht="15" customHeight="1" x14ac:dyDescent="0.25">
      <c r="B30" s="13"/>
      <c r="C30" s="15"/>
      <c r="D30" s="10"/>
      <c r="E30" s="457"/>
      <c r="F30" s="458"/>
      <c r="G30" s="459"/>
      <c r="H30" s="459"/>
      <c r="I30" s="460"/>
      <c r="J30" s="461"/>
      <c r="K30" s="462"/>
    </row>
    <row r="31" spans="1:14" ht="15.75" x14ac:dyDescent="0.25">
      <c r="D31" s="10"/>
      <c r="E31" s="457"/>
      <c r="F31" s="463"/>
      <c r="G31" s="459"/>
      <c r="H31" s="459"/>
      <c r="I31" s="460"/>
      <c r="J31" s="461"/>
      <c r="K31" s="462"/>
    </row>
    <row r="32" spans="1:14" ht="15.75" x14ac:dyDescent="0.25">
      <c r="D32" s="10"/>
      <c r="E32" s="457"/>
      <c r="F32" s="463"/>
      <c r="G32" s="459"/>
      <c r="H32" s="459"/>
      <c r="I32" s="460"/>
      <c r="J32" s="461"/>
      <c r="K32" s="462"/>
    </row>
    <row r="33" spans="4:11" ht="15.75" x14ac:dyDescent="0.25">
      <c r="D33" s="10"/>
      <c r="E33" s="457"/>
      <c r="F33" s="463"/>
      <c r="G33" s="459"/>
      <c r="H33" s="459"/>
      <c r="I33" s="460"/>
      <c r="J33" s="461"/>
      <c r="K33" s="462"/>
    </row>
    <row r="34" spans="4:11" ht="15.75" x14ac:dyDescent="0.25">
      <c r="D34" s="3"/>
      <c r="E34" s="457"/>
      <c r="F34" s="464"/>
      <c r="G34" s="459"/>
      <c r="H34" s="459"/>
      <c r="I34" s="460"/>
      <c r="J34" s="461"/>
      <c r="K34" s="466"/>
    </row>
    <row r="35" spans="4:11" ht="15.75" x14ac:dyDescent="0.25">
      <c r="D35" s="3"/>
      <c r="E35" s="457"/>
      <c r="F35" s="464"/>
      <c r="G35" s="459"/>
      <c r="H35" s="459"/>
      <c r="I35" s="460"/>
      <c r="J35" s="461"/>
      <c r="K35" s="465"/>
    </row>
    <row r="36" spans="4:11" ht="15" customHeight="1" x14ac:dyDescent="0.25">
      <c r="D36" s="3"/>
      <c r="E36" s="457"/>
      <c r="F36" s="464"/>
      <c r="G36" s="459"/>
      <c r="H36" s="459"/>
      <c r="I36" s="460"/>
      <c r="J36" s="461"/>
      <c r="K36" s="465"/>
    </row>
    <row r="37" spans="4:11" ht="15" customHeight="1" x14ac:dyDescent="0.25">
      <c r="D37" s="3"/>
      <c r="E37" s="457"/>
      <c r="F37" s="464"/>
      <c r="G37" s="459"/>
      <c r="H37" s="459"/>
      <c r="I37" s="460"/>
      <c r="J37" s="461"/>
      <c r="K37" s="465"/>
    </row>
    <row r="38" spans="4:11" ht="15" customHeight="1" x14ac:dyDescent="0.25">
      <c r="D38" s="3"/>
      <c r="E38" s="457"/>
      <c r="F38" s="464"/>
      <c r="G38" s="459"/>
      <c r="H38" s="459"/>
      <c r="I38" s="460"/>
      <c r="J38" s="461"/>
      <c r="K38" s="466"/>
    </row>
    <row r="39" spans="4:11" ht="15" customHeight="1" x14ac:dyDescent="0.25">
      <c r="D39" s="3"/>
      <c r="E39" s="457"/>
      <c r="F39" s="463"/>
      <c r="G39" s="459"/>
      <c r="H39" s="459"/>
      <c r="I39" s="460"/>
      <c r="J39" s="461"/>
      <c r="K39" s="462"/>
    </row>
    <row r="40" spans="4:11" ht="15" customHeight="1" x14ac:dyDescent="0.25">
      <c r="D40" s="3"/>
      <c r="E40" s="457"/>
      <c r="F40" s="464"/>
      <c r="G40" s="459"/>
      <c r="H40" s="459"/>
      <c r="I40" s="460"/>
      <c r="J40" s="461"/>
      <c r="K40" s="462"/>
    </row>
    <row r="41" spans="4:11" ht="15" customHeight="1" x14ac:dyDescent="0.25">
      <c r="D41" s="3"/>
      <c r="E41" s="457"/>
      <c r="F41" s="464"/>
      <c r="G41" s="459"/>
      <c r="H41" s="459"/>
      <c r="I41" s="460"/>
      <c r="J41" s="461"/>
      <c r="K41" s="466"/>
    </row>
    <row r="42" spans="4:11" ht="15" customHeight="1" x14ac:dyDescent="0.25">
      <c r="D42" s="3"/>
      <c r="E42" s="457"/>
      <c r="F42" s="463"/>
      <c r="G42" s="459"/>
      <c r="H42" s="459"/>
      <c r="I42" s="460"/>
      <c r="J42" s="461"/>
      <c r="K42" s="462"/>
    </row>
    <row r="43" spans="4:11" ht="15" customHeight="1" x14ac:dyDescent="0.25">
      <c r="D43" s="3"/>
      <c r="E43" s="457"/>
      <c r="F43" s="464"/>
      <c r="G43" s="459"/>
      <c r="H43" s="459"/>
      <c r="I43" s="460"/>
      <c r="J43" s="461"/>
      <c r="K43" s="466"/>
    </row>
    <row r="44" spans="4:11" ht="15" customHeight="1" thickBot="1" x14ac:dyDescent="0.3">
      <c r="D44" s="3"/>
      <c r="E44" s="318"/>
      <c r="F44" s="318"/>
      <c r="G44" s="318"/>
      <c r="H44" s="318"/>
      <c r="I44" s="318"/>
      <c r="J44" s="318"/>
      <c r="K44" s="318"/>
    </row>
    <row r="45" spans="4:11" ht="15" customHeight="1" x14ac:dyDescent="0.25">
      <c r="D45" s="3"/>
      <c r="E45" s="310" t="s">
        <v>9</v>
      </c>
      <c r="F45" s="311"/>
      <c r="G45" s="311"/>
      <c r="H45" s="311"/>
      <c r="I45" s="312"/>
      <c r="J45" s="316">
        <f>SUM(J5:J43)</f>
        <v>0</v>
      </c>
    </row>
    <row r="46" spans="4:11" ht="15" customHeight="1" thickBot="1" x14ac:dyDescent="0.3">
      <c r="D46" s="3"/>
      <c r="E46" s="313"/>
      <c r="F46" s="314"/>
      <c r="G46" s="314"/>
      <c r="H46" s="314"/>
      <c r="I46" s="315"/>
      <c r="J46" s="317"/>
    </row>
    <row r="47" spans="4:11" ht="15" customHeight="1" x14ac:dyDescent="0.25">
      <c r="D47" s="3"/>
      <c r="G47" s="16"/>
      <c r="H47" s="16"/>
      <c r="I47" s="16"/>
      <c r="J47" s="16"/>
    </row>
    <row r="48" spans="4:11" ht="15" customHeight="1" x14ac:dyDescent="0.25">
      <c r="D48" s="3"/>
      <c r="G48" s="16"/>
      <c r="H48" s="16"/>
      <c r="I48" s="16"/>
      <c r="J48" s="16"/>
    </row>
    <row r="49" spans="4:10" ht="15" customHeight="1" x14ac:dyDescent="0.25">
      <c r="D49" s="3"/>
      <c r="G49" s="16"/>
      <c r="H49" s="16"/>
      <c r="I49" s="16"/>
      <c r="J49" s="16"/>
    </row>
    <row r="50" spans="4:10" ht="15" customHeight="1" x14ac:dyDescent="0.25">
      <c r="D50" s="3"/>
      <c r="G50" s="16"/>
      <c r="H50" s="16"/>
      <c r="I50" s="16"/>
      <c r="J50" s="16"/>
    </row>
    <row r="51" spans="4:10" ht="15" customHeight="1" x14ac:dyDescent="0.25">
      <c r="D51" s="3"/>
      <c r="G51" s="16"/>
      <c r="H51" s="16"/>
      <c r="I51" s="16"/>
      <c r="J51" s="16"/>
    </row>
    <row r="52" spans="4:10" ht="23.25" customHeight="1" x14ac:dyDescent="0.25">
      <c r="D52" s="3"/>
      <c r="G52" s="16"/>
      <c r="H52" s="16"/>
      <c r="I52" s="16"/>
      <c r="J52" s="16"/>
    </row>
    <row r="53" spans="4:10" x14ac:dyDescent="0.25">
      <c r="D53" s="3"/>
      <c r="G53" s="16"/>
      <c r="H53" s="16"/>
      <c r="I53" s="16"/>
      <c r="J53" s="16"/>
    </row>
    <row r="54" spans="4:10" x14ac:dyDescent="0.25">
      <c r="D54" s="3"/>
      <c r="G54" s="16"/>
      <c r="H54" s="16"/>
      <c r="I54" s="16"/>
      <c r="J54" s="16"/>
    </row>
    <row r="55" spans="4:10" ht="20.25" customHeight="1" x14ac:dyDescent="0.25">
      <c r="D55" s="3"/>
      <c r="G55" s="16"/>
      <c r="H55" s="16"/>
      <c r="I55" s="16"/>
      <c r="J55" s="16"/>
    </row>
    <row r="56" spans="4:10" ht="15" customHeight="1" x14ac:dyDescent="0.25">
      <c r="D56" s="3"/>
      <c r="G56" s="16"/>
      <c r="H56" s="16"/>
      <c r="I56" s="16"/>
      <c r="J56" s="16"/>
    </row>
    <row r="57" spans="4:10" ht="15" customHeight="1" x14ac:dyDescent="0.25">
      <c r="D57" s="3"/>
      <c r="G57" s="16"/>
      <c r="H57" s="16"/>
      <c r="I57" s="16"/>
      <c r="J57" s="16"/>
    </row>
    <row r="58" spans="4:10" ht="15" customHeight="1" x14ac:dyDescent="0.25">
      <c r="D58" s="3"/>
      <c r="G58" s="16"/>
      <c r="H58" s="16"/>
      <c r="I58" s="16"/>
      <c r="J58" s="16"/>
    </row>
    <row r="59" spans="4:10" ht="15" customHeight="1" x14ac:dyDescent="0.25">
      <c r="D59" s="3"/>
      <c r="G59" s="16"/>
      <c r="H59" s="16"/>
      <c r="I59" s="16"/>
      <c r="J59" s="16"/>
    </row>
    <row r="60" spans="4:10" ht="15" customHeight="1" x14ac:dyDescent="0.25">
      <c r="D60" s="3"/>
      <c r="G60" s="16"/>
      <c r="H60" s="16"/>
      <c r="I60" s="16"/>
      <c r="J60" s="16"/>
    </row>
    <row r="61" spans="4:10" ht="15" customHeight="1" x14ac:dyDescent="0.25">
      <c r="D61" s="3"/>
      <c r="G61" s="16"/>
      <c r="H61" s="16"/>
      <c r="I61" s="16"/>
      <c r="J61" s="16"/>
    </row>
    <row r="62" spans="4:10" ht="15" customHeight="1" x14ac:dyDescent="0.25">
      <c r="D62" s="3"/>
      <c r="G62" s="16"/>
      <c r="H62" s="16"/>
      <c r="I62" s="16"/>
      <c r="J62" s="16"/>
    </row>
    <row r="63" spans="4:10" ht="15" customHeight="1" x14ac:dyDescent="0.25">
      <c r="D63" s="3"/>
      <c r="G63" s="16"/>
      <c r="H63" s="16"/>
      <c r="I63" s="16"/>
      <c r="J63" s="16"/>
    </row>
    <row r="64" spans="4:10" ht="15" customHeight="1" x14ac:dyDescent="0.25">
      <c r="D64" s="3"/>
      <c r="G64" s="16"/>
      <c r="H64" s="16"/>
      <c r="I64" s="16"/>
      <c r="J64" s="16"/>
    </row>
    <row r="65" spans="4:10" ht="15" customHeight="1" x14ac:dyDescent="0.25">
      <c r="D65" s="3"/>
      <c r="G65" s="16"/>
      <c r="H65" s="16"/>
      <c r="I65" s="16"/>
      <c r="J65" s="16"/>
    </row>
    <row r="66" spans="4:10" ht="15" customHeight="1" x14ac:dyDescent="0.25">
      <c r="D66" s="3"/>
      <c r="G66" s="16"/>
      <c r="H66" s="16"/>
      <c r="I66" s="16"/>
      <c r="J66" s="16"/>
    </row>
    <row r="67" spans="4:10" ht="15" customHeight="1" x14ac:dyDescent="0.25">
      <c r="D67" s="3"/>
      <c r="G67" s="16"/>
      <c r="H67" s="16"/>
      <c r="I67" s="16"/>
      <c r="J67" s="16"/>
    </row>
    <row r="68" spans="4:10" x14ac:dyDescent="0.25">
      <c r="D68" s="3"/>
      <c r="G68" s="16"/>
      <c r="H68" s="16"/>
      <c r="I68" s="16"/>
      <c r="J68" s="16"/>
    </row>
    <row r="69" spans="4:10" x14ac:dyDescent="0.25">
      <c r="D69" s="3"/>
      <c r="G69" s="16"/>
      <c r="H69" s="16"/>
      <c r="I69" s="16"/>
      <c r="J69" s="16"/>
    </row>
    <row r="70" spans="4:10" x14ac:dyDescent="0.25">
      <c r="D70" s="3"/>
      <c r="G70" s="16"/>
      <c r="H70" s="16"/>
      <c r="I70" s="16"/>
      <c r="J70" s="16"/>
    </row>
    <row r="71" spans="4:10" ht="15" customHeight="1" x14ac:dyDescent="0.25">
      <c r="D71" s="3"/>
      <c r="G71" s="16"/>
      <c r="H71" s="16"/>
      <c r="I71" s="16"/>
      <c r="J71" s="16"/>
    </row>
    <row r="72" spans="4:10" ht="15" customHeight="1" x14ac:dyDescent="0.25">
      <c r="D72" s="3"/>
      <c r="G72" s="16"/>
      <c r="H72" s="16"/>
      <c r="I72" s="16"/>
      <c r="J72" s="16"/>
    </row>
    <row r="73" spans="4:10" ht="15" customHeight="1" x14ac:dyDescent="0.25">
      <c r="D73" s="3"/>
      <c r="G73" s="16"/>
      <c r="H73" s="16"/>
      <c r="I73" s="16"/>
      <c r="J73" s="16"/>
    </row>
    <row r="74" spans="4:10" ht="15" customHeight="1" x14ac:dyDescent="0.25">
      <c r="D74" s="3"/>
      <c r="G74" s="16"/>
      <c r="H74" s="16"/>
      <c r="I74" s="16"/>
      <c r="J74" s="16"/>
    </row>
    <row r="75" spans="4:10" x14ac:dyDescent="0.25">
      <c r="D75" s="3"/>
    </row>
    <row r="76" spans="4:10" x14ac:dyDescent="0.25">
      <c r="D76" s="3"/>
    </row>
    <row r="77" spans="4:10" ht="15" customHeight="1" x14ac:dyDescent="0.25">
      <c r="D77" s="3"/>
    </row>
    <row r="78" spans="4:10" ht="19.5" customHeight="1" x14ac:dyDescent="0.25">
      <c r="D78" s="3"/>
    </row>
    <row r="79" spans="4:10" ht="20.25" customHeight="1" x14ac:dyDescent="0.25">
      <c r="D79" s="3"/>
    </row>
    <row r="80" spans="4:10" ht="21.75" customHeight="1" x14ac:dyDescent="0.25">
      <c r="D80" s="3"/>
    </row>
    <row r="81" spans="4:4" ht="20.25" customHeight="1" x14ac:dyDescent="0.25">
      <c r="D81" s="3"/>
    </row>
    <row r="82" spans="4:4" x14ac:dyDescent="0.25">
      <c r="D82" s="3"/>
    </row>
    <row r="83" spans="4:4" ht="15" customHeight="1" x14ac:dyDescent="0.25">
      <c r="D83" s="3"/>
    </row>
    <row r="84" spans="4:4" ht="15" customHeight="1" x14ac:dyDescent="0.25">
      <c r="D84" s="3"/>
    </row>
    <row r="85" spans="4:4" ht="15" customHeight="1" x14ac:dyDescent="0.25">
      <c r="D85" s="3"/>
    </row>
    <row r="86" spans="4:4" ht="15" customHeight="1" x14ac:dyDescent="0.25">
      <c r="D86" s="3"/>
    </row>
    <row r="87" spans="4:4" ht="15" customHeight="1" x14ac:dyDescent="0.25">
      <c r="D87" s="3"/>
    </row>
    <row r="88" spans="4:4" ht="15" customHeight="1" x14ac:dyDescent="0.25">
      <c r="D88" s="3"/>
    </row>
    <row r="89" spans="4:4" ht="15" customHeight="1" x14ac:dyDescent="0.25">
      <c r="D89" s="3"/>
    </row>
    <row r="90" spans="4:4" ht="15" customHeight="1" x14ac:dyDescent="0.25">
      <c r="D90" s="3"/>
    </row>
    <row r="91" spans="4:4" ht="15" customHeight="1" x14ac:dyDescent="0.25">
      <c r="D91" s="3"/>
    </row>
    <row r="92" spans="4:4" ht="15" customHeight="1" x14ac:dyDescent="0.25">
      <c r="D92" s="3"/>
    </row>
    <row r="93" spans="4:4" ht="15" customHeight="1" x14ac:dyDescent="0.25">
      <c r="D93" s="3"/>
    </row>
    <row r="94" spans="4:4" ht="15" customHeight="1" x14ac:dyDescent="0.25">
      <c r="D94" s="3"/>
    </row>
    <row r="95" spans="4:4" ht="15" customHeight="1" x14ac:dyDescent="0.25">
      <c r="D95" s="3"/>
    </row>
    <row r="96" spans="4:4" ht="15" customHeight="1" x14ac:dyDescent="0.25">
      <c r="D96" s="3"/>
    </row>
    <row r="97" spans="4:4" ht="15" customHeight="1" x14ac:dyDescent="0.25">
      <c r="D97" s="3"/>
    </row>
    <row r="98" spans="4:4" ht="15" customHeight="1" x14ac:dyDescent="0.25">
      <c r="D98" s="3"/>
    </row>
    <row r="99" spans="4:4" ht="20.25" customHeight="1" x14ac:dyDescent="0.25">
      <c r="D99" s="3"/>
    </row>
    <row r="100" spans="4:4" ht="15" customHeight="1" x14ac:dyDescent="0.25">
      <c r="D100" s="3"/>
    </row>
    <row r="101" spans="4:4" ht="15" customHeight="1" x14ac:dyDescent="0.25">
      <c r="D101" s="3"/>
    </row>
    <row r="102" spans="4:4" ht="15" customHeight="1" x14ac:dyDescent="0.25">
      <c r="D102" s="3"/>
    </row>
    <row r="103" spans="4:4" ht="15" customHeight="1" x14ac:dyDescent="0.25">
      <c r="D103" s="3"/>
    </row>
    <row r="104" spans="4:4" ht="15" customHeight="1" x14ac:dyDescent="0.25">
      <c r="D104" s="3"/>
    </row>
    <row r="105" spans="4:4" ht="15" customHeight="1" x14ac:dyDescent="0.25">
      <c r="D105" s="3"/>
    </row>
    <row r="106" spans="4:4" ht="15" customHeight="1" x14ac:dyDescent="0.25">
      <c r="D106" s="3"/>
    </row>
    <row r="107" spans="4:4" ht="15" customHeight="1" x14ac:dyDescent="0.25">
      <c r="D107" s="3"/>
    </row>
    <row r="108" spans="4:4" ht="15" customHeight="1" x14ac:dyDescent="0.25">
      <c r="D108" s="3"/>
    </row>
    <row r="109" spans="4:4" ht="15" customHeight="1" x14ac:dyDescent="0.25">
      <c r="D109" s="3"/>
    </row>
    <row r="110" spans="4:4" ht="15" customHeight="1" x14ac:dyDescent="0.25">
      <c r="D110" s="3"/>
    </row>
    <row r="111" spans="4:4" ht="15" customHeight="1" x14ac:dyDescent="0.25">
      <c r="D111" s="3"/>
    </row>
    <row r="112" spans="4:4" ht="15" customHeight="1" x14ac:dyDescent="0.25">
      <c r="D112" s="3"/>
    </row>
    <row r="113" spans="4:4" ht="15" customHeight="1" x14ac:dyDescent="0.25">
      <c r="D113" s="3"/>
    </row>
    <row r="114" spans="4:4" ht="15" customHeight="1" x14ac:dyDescent="0.25">
      <c r="D114" s="3"/>
    </row>
    <row r="115" spans="4:4" ht="15" customHeight="1" x14ac:dyDescent="0.25">
      <c r="D115" s="3"/>
    </row>
    <row r="116" spans="4:4" ht="15" customHeight="1" x14ac:dyDescent="0.25">
      <c r="D116" s="3"/>
    </row>
    <row r="117" spans="4:4" ht="15" customHeight="1" x14ac:dyDescent="0.25">
      <c r="D117" s="3"/>
    </row>
    <row r="118" spans="4:4" ht="15" customHeight="1" x14ac:dyDescent="0.25">
      <c r="D118" s="3"/>
    </row>
    <row r="119" spans="4:4" ht="15" customHeight="1" x14ac:dyDescent="0.25">
      <c r="D119" s="3"/>
    </row>
    <row r="120" spans="4:4" ht="15" customHeight="1" x14ac:dyDescent="0.25">
      <c r="D120" s="3"/>
    </row>
    <row r="121" spans="4:4" ht="15" customHeight="1" x14ac:dyDescent="0.25">
      <c r="D121" s="3"/>
    </row>
    <row r="122" spans="4:4" ht="15" customHeight="1" x14ac:dyDescent="0.25">
      <c r="D122" s="3"/>
    </row>
    <row r="123" spans="4:4" ht="15" customHeight="1" x14ac:dyDescent="0.25">
      <c r="D123" s="3"/>
    </row>
    <row r="124" spans="4:4" ht="15" customHeight="1" x14ac:dyDescent="0.25">
      <c r="D124" s="3"/>
    </row>
    <row r="125" spans="4:4" ht="15" customHeight="1" x14ac:dyDescent="0.25">
      <c r="D125" s="3"/>
    </row>
    <row r="126" spans="4:4" ht="15" customHeight="1" x14ac:dyDescent="0.25">
      <c r="D126" s="3"/>
    </row>
    <row r="127" spans="4:4" ht="15" customHeight="1" x14ac:dyDescent="0.25">
      <c r="D127" s="3"/>
    </row>
    <row r="128" spans="4:4" ht="15" customHeight="1" x14ac:dyDescent="0.25">
      <c r="D128" s="3"/>
    </row>
    <row r="129" spans="4:4" ht="15" customHeight="1" x14ac:dyDescent="0.25">
      <c r="D129" s="3"/>
    </row>
    <row r="130" spans="4:4" ht="15" customHeight="1" x14ac:dyDescent="0.25">
      <c r="D130" s="3"/>
    </row>
    <row r="131" spans="4:4" ht="15" customHeight="1" x14ac:dyDescent="0.25">
      <c r="D131" s="3"/>
    </row>
    <row r="132" spans="4:4" ht="15" customHeight="1" x14ac:dyDescent="0.25">
      <c r="D132" s="3"/>
    </row>
    <row r="133" spans="4:4" ht="15" customHeight="1" x14ac:dyDescent="0.25">
      <c r="D133" s="3"/>
    </row>
    <row r="134" spans="4:4" ht="15" customHeight="1" x14ac:dyDescent="0.25">
      <c r="D134" s="3"/>
    </row>
    <row r="135" spans="4:4" ht="15" customHeight="1" x14ac:dyDescent="0.25">
      <c r="D135" s="3"/>
    </row>
    <row r="136" spans="4:4" ht="15" customHeight="1" x14ac:dyDescent="0.25">
      <c r="D136" s="3"/>
    </row>
    <row r="137" spans="4:4" ht="15" customHeight="1" x14ac:dyDescent="0.25">
      <c r="D137" s="3"/>
    </row>
    <row r="138" spans="4:4" ht="15" customHeight="1" x14ac:dyDescent="0.25">
      <c r="D138" s="3"/>
    </row>
    <row r="139" spans="4:4" ht="15" customHeight="1" x14ac:dyDescent="0.25">
      <c r="D139" s="3"/>
    </row>
    <row r="140" spans="4:4" ht="15" customHeight="1" x14ac:dyDescent="0.25">
      <c r="D140" s="3"/>
    </row>
    <row r="141" spans="4:4" ht="15" customHeight="1" x14ac:dyDescent="0.25">
      <c r="D141" s="3"/>
    </row>
    <row r="142" spans="4:4" ht="15" customHeight="1" x14ac:dyDescent="0.25">
      <c r="D142" s="3"/>
    </row>
    <row r="143" spans="4:4" ht="15" customHeight="1" x14ac:dyDescent="0.25">
      <c r="D143" s="3"/>
    </row>
    <row r="144" spans="4:4" ht="15" customHeight="1" x14ac:dyDescent="0.25">
      <c r="D144" s="3"/>
    </row>
    <row r="145" spans="4:4" ht="15" customHeight="1" x14ac:dyDescent="0.25">
      <c r="D145" s="3"/>
    </row>
    <row r="146" spans="4:4" ht="15" customHeight="1" x14ac:dyDescent="0.25">
      <c r="D146" s="3"/>
    </row>
    <row r="147" spans="4:4" ht="15" customHeight="1" x14ac:dyDescent="0.25">
      <c r="D147" s="3"/>
    </row>
    <row r="148" spans="4:4" ht="15" customHeight="1" x14ac:dyDescent="0.25">
      <c r="D148" s="3"/>
    </row>
    <row r="149" spans="4:4" ht="15" customHeight="1" x14ac:dyDescent="0.25">
      <c r="D149" s="3"/>
    </row>
    <row r="150" spans="4:4" ht="15" customHeight="1" x14ac:dyDescent="0.25">
      <c r="D150" s="3"/>
    </row>
    <row r="151" spans="4:4" ht="15" customHeight="1" x14ac:dyDescent="0.25">
      <c r="D151" s="3"/>
    </row>
    <row r="152" spans="4:4" ht="15" customHeight="1" x14ac:dyDescent="0.25">
      <c r="D152" s="3"/>
    </row>
    <row r="153" spans="4:4" ht="15" customHeight="1" x14ac:dyDescent="0.25">
      <c r="D153" s="3"/>
    </row>
    <row r="154" spans="4:4" ht="15" customHeight="1" x14ac:dyDescent="0.25">
      <c r="D154" s="3"/>
    </row>
    <row r="155" spans="4:4" ht="15" customHeight="1" x14ac:dyDescent="0.25">
      <c r="D155" s="3"/>
    </row>
    <row r="156" spans="4:4" ht="15" customHeight="1" x14ac:dyDescent="0.25">
      <c r="D156" s="3"/>
    </row>
    <row r="157" spans="4:4" ht="15" customHeight="1" x14ac:dyDescent="0.25">
      <c r="D157" s="3"/>
    </row>
    <row r="158" spans="4:4" ht="15" customHeight="1" x14ac:dyDescent="0.25">
      <c r="D158" s="3"/>
    </row>
    <row r="159" spans="4:4" ht="15" customHeight="1" x14ac:dyDescent="0.25">
      <c r="D159" s="3"/>
    </row>
    <row r="160" spans="4:4" ht="15" customHeight="1" x14ac:dyDescent="0.25">
      <c r="D160" s="3"/>
    </row>
    <row r="161" spans="4:4" ht="15" customHeight="1" x14ac:dyDescent="0.25">
      <c r="D161" s="3"/>
    </row>
    <row r="162" spans="4:4" ht="15" customHeight="1" x14ac:dyDescent="0.25">
      <c r="D162" s="3"/>
    </row>
    <row r="163" spans="4:4" ht="15" customHeight="1" x14ac:dyDescent="0.25">
      <c r="D163" s="3"/>
    </row>
  </sheetData>
  <sortState xmlns:xlrd2="http://schemas.microsoft.com/office/spreadsheetml/2017/richdata2" ref="M5:N10">
    <sortCondition ref="M4:M10"/>
  </sortState>
  <mergeCells count="12">
    <mergeCell ref="A14:B15"/>
    <mergeCell ref="A13:C13"/>
    <mergeCell ref="C14:C15"/>
    <mergeCell ref="A1:C2"/>
    <mergeCell ref="E1:K2"/>
    <mergeCell ref="A3:C3"/>
    <mergeCell ref="E3:K3"/>
    <mergeCell ref="E45:I46"/>
    <mergeCell ref="J45:J46"/>
    <mergeCell ref="E44:K44"/>
    <mergeCell ref="M1:N2"/>
    <mergeCell ref="M3:N3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9"/>
  <sheetViews>
    <sheetView zoomScale="70" zoomScaleNormal="70" workbookViewId="0">
      <selection activeCell="K30" sqref="K30:M36"/>
    </sheetView>
  </sheetViews>
  <sheetFormatPr baseColWidth="10" defaultColWidth="14.42578125" defaultRowHeight="15" customHeight="1" x14ac:dyDescent="0.25"/>
  <cols>
    <col min="1" max="1" width="35.7109375" bestFit="1" customWidth="1"/>
    <col min="2" max="2" width="25.42578125" bestFit="1" customWidth="1"/>
    <col min="3" max="3" width="25.42578125" customWidth="1"/>
    <col min="4" max="4" width="24.42578125" customWidth="1"/>
    <col min="5" max="8" width="27.7109375" customWidth="1"/>
    <col min="9" max="9" width="25.42578125" bestFit="1" customWidth="1"/>
    <col min="10" max="10" width="13.7109375" customWidth="1"/>
    <col min="11" max="11" width="20" customWidth="1"/>
    <col min="12" max="12" width="55.140625" bestFit="1" customWidth="1"/>
    <col min="13" max="13" width="68.85546875" bestFit="1" customWidth="1"/>
    <col min="14" max="14" width="11.85546875" customWidth="1"/>
    <col min="15" max="15" width="19" customWidth="1"/>
    <col min="16" max="16" width="142.85546875" bestFit="1" customWidth="1"/>
    <col min="17" max="17" width="26.42578125" bestFit="1" customWidth="1"/>
  </cols>
  <sheetData>
    <row r="1" spans="1:18" x14ac:dyDescent="0.25">
      <c r="A1" s="376" t="s">
        <v>10</v>
      </c>
      <c r="B1" s="311"/>
      <c r="C1" s="311"/>
      <c r="D1" s="311"/>
      <c r="E1" s="311"/>
      <c r="F1" s="311"/>
      <c r="G1" s="311"/>
      <c r="H1" s="311"/>
      <c r="I1" s="330"/>
      <c r="K1" s="377" t="s">
        <v>11</v>
      </c>
      <c r="L1" s="311"/>
      <c r="M1" s="311"/>
      <c r="N1" s="311"/>
      <c r="O1" s="311"/>
      <c r="P1" s="311"/>
      <c r="Q1" s="330"/>
    </row>
    <row r="2" spans="1:18" ht="15.75" thickBot="1" x14ac:dyDescent="0.3">
      <c r="A2" s="313"/>
      <c r="B2" s="314"/>
      <c r="C2" s="314"/>
      <c r="D2" s="314"/>
      <c r="E2" s="314"/>
      <c r="F2" s="314"/>
      <c r="G2" s="314"/>
      <c r="H2" s="314"/>
      <c r="I2" s="331"/>
      <c r="J2" s="2"/>
      <c r="K2" s="313"/>
      <c r="L2" s="314"/>
      <c r="M2" s="314"/>
      <c r="N2" s="314"/>
      <c r="O2" s="314"/>
      <c r="P2" s="314"/>
      <c r="Q2" s="331"/>
    </row>
    <row r="3" spans="1:18" ht="15.75" thickBot="1" x14ac:dyDescent="0.3">
      <c r="A3" s="378"/>
      <c r="B3" s="335"/>
      <c r="C3" s="335"/>
      <c r="D3" s="335"/>
      <c r="E3" s="335"/>
      <c r="F3" s="335"/>
      <c r="G3" s="335"/>
      <c r="H3" s="335"/>
      <c r="I3" s="335"/>
      <c r="J3" s="3"/>
      <c r="K3" s="378"/>
      <c r="L3" s="335"/>
      <c r="M3" s="335"/>
      <c r="N3" s="335"/>
      <c r="O3" s="335"/>
      <c r="P3" s="335"/>
      <c r="Q3" s="335"/>
    </row>
    <row r="4" spans="1:18" ht="21.75" thickBot="1" x14ac:dyDescent="0.3">
      <c r="A4" s="133" t="s">
        <v>1</v>
      </c>
      <c r="B4" s="134" t="s">
        <v>112</v>
      </c>
      <c r="C4" s="134" t="s">
        <v>113</v>
      </c>
      <c r="D4" s="134" t="s">
        <v>12</v>
      </c>
      <c r="E4" s="134" t="s">
        <v>13</v>
      </c>
      <c r="F4" s="134" t="s">
        <v>14</v>
      </c>
      <c r="G4" s="134" t="s">
        <v>119</v>
      </c>
      <c r="H4" s="134" t="s">
        <v>15</v>
      </c>
      <c r="I4" s="135" t="s">
        <v>9</v>
      </c>
      <c r="J4" s="17"/>
      <c r="K4" s="379" t="s">
        <v>16</v>
      </c>
      <c r="L4" s="349"/>
      <c r="M4" s="350"/>
      <c r="N4" s="3"/>
      <c r="O4" s="380" t="s">
        <v>17</v>
      </c>
      <c r="P4" s="381"/>
      <c r="Q4" s="382"/>
    </row>
    <row r="5" spans="1:18" ht="27" thickBot="1" x14ac:dyDescent="0.3">
      <c r="A5" s="136">
        <v>46023</v>
      </c>
      <c r="B5" s="95"/>
      <c r="C5" s="95"/>
      <c r="D5" s="95"/>
      <c r="E5" s="99"/>
      <c r="F5" s="96"/>
      <c r="G5" s="96"/>
      <c r="H5" s="98"/>
      <c r="I5" s="137">
        <f>SUM(Table_1[[#This Row],[Caisse CV]:[Sous-Traitants]])</f>
        <v>0</v>
      </c>
      <c r="J5" s="11"/>
      <c r="K5" s="368">
        <f>B37+C37+'SOUS-TRAITANTS &amp; CONVENTIONS'!C21+'SOUS-TRAITANTS &amp; CONVENTIONS'!C29+SUM(L30:L31)+L54-Q85</f>
        <v>0</v>
      </c>
      <c r="L5" s="344"/>
      <c r="M5" s="345"/>
      <c r="O5" s="352"/>
      <c r="P5" s="335"/>
      <c r="Q5" s="335"/>
    </row>
    <row r="6" spans="1:18" ht="18.75" x14ac:dyDescent="0.25">
      <c r="A6" s="192">
        <v>46024</v>
      </c>
      <c r="B6" s="138"/>
      <c r="C6" s="138"/>
      <c r="D6" s="138"/>
      <c r="E6" s="139"/>
      <c r="F6" s="139"/>
      <c r="G6" s="139"/>
      <c r="H6" s="127"/>
      <c r="I6" s="140"/>
      <c r="J6" s="20"/>
      <c r="K6" s="351"/>
      <c r="L6" s="335"/>
      <c r="M6" s="335"/>
      <c r="N6" s="2"/>
      <c r="O6" s="223" t="s">
        <v>18</v>
      </c>
      <c r="P6" s="223" t="s">
        <v>19</v>
      </c>
      <c r="Q6" s="223" t="s">
        <v>2</v>
      </c>
    </row>
    <row r="7" spans="1:18" ht="19.5" thickBot="1" x14ac:dyDescent="0.3">
      <c r="A7" s="136">
        <v>46025</v>
      </c>
      <c r="B7" s="95"/>
      <c r="C7" s="95"/>
      <c r="D7" s="95"/>
      <c r="E7" s="99"/>
      <c r="F7" s="130"/>
      <c r="G7" s="130"/>
      <c r="H7" s="98"/>
      <c r="I7" s="137"/>
      <c r="J7" s="20"/>
      <c r="K7" s="335"/>
      <c r="L7" s="335"/>
      <c r="M7" s="335"/>
      <c r="N7" s="2"/>
      <c r="O7" s="467"/>
      <c r="P7" s="468"/>
      <c r="Q7" s="469"/>
      <c r="R7" s="110"/>
    </row>
    <row r="8" spans="1:18" ht="21" x14ac:dyDescent="0.25">
      <c r="A8" s="136">
        <v>46026</v>
      </c>
      <c r="B8" s="95"/>
      <c r="C8" s="95"/>
      <c r="D8" s="95"/>
      <c r="E8" s="99"/>
      <c r="F8" s="95"/>
      <c r="G8" s="95"/>
      <c r="H8" s="98"/>
      <c r="I8" s="137"/>
      <c r="J8" s="20"/>
      <c r="K8" s="383" t="s">
        <v>20</v>
      </c>
      <c r="L8" s="384"/>
      <c r="M8" s="385"/>
      <c r="N8" s="2"/>
      <c r="O8" s="467"/>
      <c r="P8" s="470"/>
      <c r="Q8" s="469"/>
      <c r="R8" s="110"/>
    </row>
    <row r="9" spans="1:18" ht="21.75" thickBot="1" x14ac:dyDescent="0.3">
      <c r="A9" s="136">
        <v>46027</v>
      </c>
      <c r="B9" s="95"/>
      <c r="C9" s="95"/>
      <c r="D9" s="95"/>
      <c r="E9" s="99"/>
      <c r="F9" s="130"/>
      <c r="G9" s="130"/>
      <c r="H9" s="98"/>
      <c r="I9" s="137"/>
      <c r="J9" s="20"/>
      <c r="K9" s="343">
        <f>B37+D37+E37</f>
        <v>0</v>
      </c>
      <c r="L9" s="344"/>
      <c r="M9" s="345"/>
      <c r="N9" s="2"/>
      <c r="O9" s="467"/>
      <c r="P9" s="471"/>
      <c r="Q9" s="472"/>
      <c r="R9" s="110"/>
    </row>
    <row r="10" spans="1:18" ht="21" x14ac:dyDescent="0.25">
      <c r="A10" s="136">
        <v>46028</v>
      </c>
      <c r="B10" s="95"/>
      <c r="C10" s="95"/>
      <c r="D10" s="95"/>
      <c r="E10" s="99"/>
      <c r="F10" s="95"/>
      <c r="G10" s="95"/>
      <c r="H10" s="98"/>
      <c r="I10" s="137"/>
      <c r="J10" s="20"/>
      <c r="K10" s="297"/>
      <c r="L10" s="346"/>
      <c r="M10" s="346"/>
      <c r="O10" s="467"/>
      <c r="P10" s="470"/>
      <c r="Q10" s="469"/>
      <c r="R10" s="110"/>
    </row>
    <row r="11" spans="1:18" ht="21.75" thickBot="1" x14ac:dyDescent="0.3">
      <c r="A11" s="136">
        <v>46029</v>
      </c>
      <c r="B11" s="95"/>
      <c r="C11" s="95"/>
      <c r="D11" s="95"/>
      <c r="E11" s="99"/>
      <c r="F11" s="130"/>
      <c r="G11" s="130"/>
      <c r="H11" s="98"/>
      <c r="I11" s="137"/>
      <c r="J11" s="20"/>
      <c r="K11" s="297"/>
      <c r="L11" s="347"/>
      <c r="M11" s="347"/>
      <c r="O11" s="467"/>
      <c r="P11" s="470"/>
      <c r="Q11" s="469"/>
      <c r="R11" s="110"/>
    </row>
    <row r="12" spans="1:18" ht="21" x14ac:dyDescent="0.25">
      <c r="A12" s="136">
        <v>46030</v>
      </c>
      <c r="B12" s="95"/>
      <c r="C12" s="95"/>
      <c r="D12" s="95"/>
      <c r="E12" s="99"/>
      <c r="F12" s="95"/>
      <c r="G12" s="95"/>
      <c r="H12" s="98"/>
      <c r="I12" s="137"/>
      <c r="J12" s="20"/>
      <c r="K12" s="340" t="s">
        <v>114</v>
      </c>
      <c r="L12" s="341"/>
      <c r="M12" s="342"/>
      <c r="O12" s="467"/>
      <c r="P12" s="470"/>
      <c r="Q12" s="469"/>
      <c r="R12" s="110"/>
    </row>
    <row r="13" spans="1:18" ht="21.75" thickBot="1" x14ac:dyDescent="0.3">
      <c r="A13" s="192">
        <v>46031</v>
      </c>
      <c r="B13" s="253"/>
      <c r="C13" s="253"/>
      <c r="D13" s="138"/>
      <c r="E13" s="139"/>
      <c r="F13" s="200"/>
      <c r="G13" s="200"/>
      <c r="H13" s="127"/>
      <c r="I13" s="137"/>
      <c r="J13" s="20"/>
      <c r="K13" s="343">
        <f>C37+G37</f>
        <v>0</v>
      </c>
      <c r="L13" s="344"/>
      <c r="M13" s="345"/>
      <c r="O13" s="467"/>
      <c r="P13" s="471"/>
      <c r="Q13" s="473"/>
      <c r="R13" s="110"/>
    </row>
    <row r="14" spans="1:18" ht="18.75" x14ac:dyDescent="0.25">
      <c r="A14" s="136">
        <v>46032</v>
      </c>
      <c r="B14" s="95"/>
      <c r="C14" s="95"/>
      <c r="D14" s="95"/>
      <c r="E14" s="95"/>
      <c r="F14" s="95"/>
      <c r="G14" s="95"/>
      <c r="H14" s="98"/>
      <c r="I14" s="137"/>
      <c r="J14" s="20"/>
      <c r="K14" s="351"/>
      <c r="L14" s="335"/>
      <c r="M14" s="335"/>
      <c r="O14" s="467"/>
      <c r="P14" s="470"/>
      <c r="Q14" s="469"/>
      <c r="R14" s="110"/>
    </row>
    <row r="15" spans="1:18" ht="19.5" thickBot="1" x14ac:dyDescent="0.3">
      <c r="A15" s="136">
        <v>46033</v>
      </c>
      <c r="B15" s="95"/>
      <c r="C15" s="95"/>
      <c r="D15" s="95"/>
      <c r="E15" s="99"/>
      <c r="F15" s="130"/>
      <c r="G15" s="130"/>
      <c r="H15" s="98"/>
      <c r="I15" s="137"/>
      <c r="J15" s="20"/>
      <c r="K15" s="335"/>
      <c r="L15" s="335"/>
      <c r="M15" s="335"/>
      <c r="O15" s="467"/>
      <c r="P15" s="470"/>
      <c r="Q15" s="469"/>
      <c r="R15" s="110"/>
    </row>
    <row r="16" spans="1:18" ht="21" x14ac:dyDescent="0.25">
      <c r="A16" s="136">
        <v>46034</v>
      </c>
      <c r="B16" s="95"/>
      <c r="C16" s="95"/>
      <c r="D16" s="95"/>
      <c r="E16" s="99"/>
      <c r="F16" s="95"/>
      <c r="G16" s="95"/>
      <c r="H16" s="98"/>
      <c r="I16" s="137"/>
      <c r="J16" s="20"/>
      <c r="K16" s="348" t="s">
        <v>21</v>
      </c>
      <c r="L16" s="349"/>
      <c r="M16" s="350"/>
      <c r="O16" s="467"/>
      <c r="P16" s="470"/>
      <c r="Q16" s="469"/>
      <c r="R16" s="110"/>
    </row>
    <row r="17" spans="1:18" ht="21.75" thickBot="1" x14ac:dyDescent="0.3">
      <c r="A17" s="136">
        <v>46035</v>
      </c>
      <c r="B17" s="95"/>
      <c r="C17" s="95"/>
      <c r="D17" s="95"/>
      <c r="E17" s="95"/>
      <c r="F17" s="130"/>
      <c r="G17" s="130"/>
      <c r="H17" s="98"/>
      <c r="I17" s="137"/>
      <c r="J17" s="20"/>
      <c r="K17" s="343">
        <f>H37</f>
        <v>0</v>
      </c>
      <c r="L17" s="344"/>
      <c r="M17" s="345"/>
      <c r="O17" s="467"/>
      <c r="P17" s="470"/>
      <c r="Q17" s="469"/>
      <c r="R17" s="110"/>
    </row>
    <row r="18" spans="1:18" ht="21" customHeight="1" x14ac:dyDescent="0.25">
      <c r="A18" s="136">
        <v>46036</v>
      </c>
      <c r="B18" s="95"/>
      <c r="C18" s="95"/>
      <c r="D18" s="95"/>
      <c r="E18" s="99"/>
      <c r="F18" s="95"/>
      <c r="G18" s="95"/>
      <c r="H18" s="98"/>
      <c r="I18" s="137"/>
      <c r="J18" s="20"/>
      <c r="K18" s="360"/>
      <c r="L18" s="360"/>
      <c r="M18" s="360"/>
      <c r="O18" s="467"/>
      <c r="P18" s="474"/>
      <c r="Q18" s="475"/>
      <c r="R18" s="110"/>
    </row>
    <row r="19" spans="1:18" ht="21.75" customHeight="1" thickBot="1" x14ac:dyDescent="0.35">
      <c r="A19" s="136">
        <v>46037</v>
      </c>
      <c r="B19" s="206"/>
      <c r="C19" s="206"/>
      <c r="D19" s="206"/>
      <c r="E19" s="207"/>
      <c r="F19" s="207"/>
      <c r="G19" s="207"/>
      <c r="H19" s="98"/>
      <c r="I19" s="137"/>
      <c r="J19" s="20"/>
      <c r="K19" s="361"/>
      <c r="L19" s="361"/>
      <c r="M19" s="361"/>
      <c r="O19" s="467"/>
      <c r="P19" s="471"/>
      <c r="Q19" s="472"/>
      <c r="R19" s="110"/>
    </row>
    <row r="20" spans="1:18" ht="21" x14ac:dyDescent="0.25">
      <c r="A20" s="192">
        <v>46038</v>
      </c>
      <c r="B20" s="138"/>
      <c r="C20" s="138"/>
      <c r="D20" s="138"/>
      <c r="E20" s="139"/>
      <c r="F20" s="138"/>
      <c r="G20" s="138"/>
      <c r="H20" s="127"/>
      <c r="I20" s="140"/>
      <c r="J20" s="20"/>
      <c r="K20" s="356" t="s">
        <v>117</v>
      </c>
      <c r="L20" s="357"/>
      <c r="M20" s="358"/>
      <c r="O20" s="467"/>
      <c r="P20" s="470"/>
      <c r="Q20" s="469"/>
      <c r="R20" s="110"/>
    </row>
    <row r="21" spans="1:18" ht="21.75" thickBot="1" x14ac:dyDescent="0.3">
      <c r="A21" s="136">
        <v>46039</v>
      </c>
      <c r="B21" s="95"/>
      <c r="C21" s="95"/>
      <c r="D21" s="95"/>
      <c r="E21" s="99"/>
      <c r="F21" s="99"/>
      <c r="G21" s="99"/>
      <c r="H21" s="98"/>
      <c r="I21" s="137"/>
      <c r="J21" s="20"/>
      <c r="K21" s="359">
        <f>L38</f>
        <v>0</v>
      </c>
      <c r="L21" s="344"/>
      <c r="M21" s="345"/>
      <c r="O21" s="467"/>
      <c r="P21" s="471"/>
      <c r="Q21" s="472"/>
      <c r="R21" s="110"/>
    </row>
    <row r="22" spans="1:18" ht="18.75" x14ac:dyDescent="0.25">
      <c r="A22" s="136">
        <v>46040</v>
      </c>
      <c r="B22" s="95"/>
      <c r="C22" s="95"/>
      <c r="D22" s="95"/>
      <c r="E22" s="99"/>
      <c r="F22" s="99"/>
      <c r="G22" s="99"/>
      <c r="H22" s="98"/>
      <c r="I22" s="137"/>
      <c r="J22" s="20"/>
      <c r="K22" s="351"/>
      <c r="L22" s="335"/>
      <c r="M22" s="335"/>
      <c r="N22" s="3"/>
      <c r="O22" s="467"/>
      <c r="P22" s="476"/>
      <c r="Q22" s="469"/>
      <c r="R22" s="110"/>
    </row>
    <row r="23" spans="1:18" ht="19.5" thickBot="1" x14ac:dyDescent="0.35">
      <c r="A23" s="136">
        <v>46041</v>
      </c>
      <c r="B23" s="95"/>
      <c r="C23" s="95"/>
      <c r="D23" s="95"/>
      <c r="E23" s="99"/>
      <c r="F23" s="99"/>
      <c r="G23" s="99"/>
      <c r="H23" s="98"/>
      <c r="I23" s="137"/>
      <c r="J23" s="20"/>
      <c r="K23" s="335"/>
      <c r="L23" s="335"/>
      <c r="M23" s="335"/>
      <c r="N23" s="3"/>
      <c r="O23" s="467"/>
      <c r="P23" s="477"/>
      <c r="Q23" s="469"/>
      <c r="R23" s="110"/>
    </row>
    <row r="24" spans="1:18" ht="21" x14ac:dyDescent="0.3">
      <c r="A24" s="136">
        <v>46042</v>
      </c>
      <c r="B24" s="95"/>
      <c r="C24" s="95"/>
      <c r="D24" s="95"/>
      <c r="E24" s="99"/>
      <c r="F24" s="95"/>
      <c r="G24" s="95"/>
      <c r="H24" s="98"/>
      <c r="I24" s="137"/>
      <c r="J24" s="20"/>
      <c r="K24" s="353" t="s">
        <v>115</v>
      </c>
      <c r="L24" s="354"/>
      <c r="M24" s="355"/>
      <c r="N24" s="21"/>
      <c r="O24" s="467"/>
      <c r="P24" s="470"/>
      <c r="Q24" s="469"/>
      <c r="R24" s="110"/>
    </row>
    <row r="25" spans="1:18" ht="27" thickBot="1" x14ac:dyDescent="0.35">
      <c r="A25" s="136">
        <v>46043</v>
      </c>
      <c r="B25" s="95"/>
      <c r="C25" s="95"/>
      <c r="D25" s="95"/>
      <c r="E25" s="99"/>
      <c r="F25" s="130"/>
      <c r="G25" s="130"/>
      <c r="H25" s="98"/>
      <c r="I25" s="137"/>
      <c r="J25" s="20"/>
      <c r="K25" s="368">
        <f>K9+K13+K17+K21</f>
        <v>0</v>
      </c>
      <c r="L25" s="344"/>
      <c r="M25" s="345"/>
      <c r="N25" s="22"/>
      <c r="O25" s="467"/>
      <c r="P25" s="470"/>
      <c r="Q25" s="469"/>
      <c r="R25" s="110"/>
    </row>
    <row r="26" spans="1:18" ht="18.75" x14ac:dyDescent="0.25">
      <c r="A26" s="136">
        <v>46044</v>
      </c>
      <c r="B26" s="95"/>
      <c r="C26" s="95"/>
      <c r="D26" s="95"/>
      <c r="E26" s="99"/>
      <c r="F26" s="95"/>
      <c r="G26" s="95"/>
      <c r="H26" s="98"/>
      <c r="I26" s="137"/>
      <c r="J26" s="20"/>
      <c r="K26" s="371"/>
      <c r="L26" s="371"/>
      <c r="M26" s="371"/>
      <c r="N26" s="3"/>
      <c r="O26" s="467"/>
      <c r="P26" s="474"/>
      <c r="Q26" s="475"/>
      <c r="R26" s="110"/>
    </row>
    <row r="27" spans="1:18" ht="18.75" x14ac:dyDescent="0.25">
      <c r="A27" s="192">
        <v>46045</v>
      </c>
      <c r="B27" s="138"/>
      <c r="C27" s="138"/>
      <c r="D27" s="138"/>
      <c r="E27" s="139"/>
      <c r="F27" s="200"/>
      <c r="G27" s="200"/>
      <c r="H27" s="127"/>
      <c r="I27" s="140"/>
      <c r="J27" s="20"/>
      <c r="K27" s="372"/>
      <c r="L27" s="372"/>
      <c r="M27" s="372"/>
      <c r="N27" s="3"/>
      <c r="O27" s="467"/>
      <c r="P27" s="470"/>
      <c r="Q27" s="469"/>
      <c r="R27" s="110"/>
    </row>
    <row r="28" spans="1:18" ht="18.75" x14ac:dyDescent="0.3">
      <c r="A28" s="136">
        <v>46046</v>
      </c>
      <c r="B28" s="95"/>
      <c r="C28" s="95"/>
      <c r="D28" s="95"/>
      <c r="E28" s="99"/>
      <c r="F28" s="95"/>
      <c r="G28" s="95"/>
      <c r="H28" s="98"/>
      <c r="I28" s="137"/>
      <c r="J28" s="20"/>
      <c r="K28" s="369" t="s">
        <v>118</v>
      </c>
      <c r="L28" s="370"/>
      <c r="M28" s="370"/>
      <c r="N28" s="3"/>
      <c r="O28" s="467"/>
      <c r="P28" s="476"/>
      <c r="Q28" s="469"/>
      <c r="R28" s="110"/>
    </row>
    <row r="29" spans="1:18" ht="18.75" x14ac:dyDescent="0.3">
      <c r="A29" s="136">
        <v>46047</v>
      </c>
      <c r="B29" s="95"/>
      <c r="C29" s="95"/>
      <c r="D29" s="95"/>
      <c r="E29" s="99"/>
      <c r="F29" s="99"/>
      <c r="G29" s="99"/>
      <c r="H29" s="98"/>
      <c r="I29" s="137"/>
      <c r="J29" s="20"/>
      <c r="K29" s="241" t="s">
        <v>3</v>
      </c>
      <c r="L29" s="241" t="s">
        <v>2</v>
      </c>
      <c r="M29" s="241" t="s">
        <v>22</v>
      </c>
      <c r="N29" s="3"/>
      <c r="O29" s="467"/>
      <c r="P29" s="471"/>
      <c r="Q29" s="472"/>
      <c r="R29" s="110"/>
    </row>
    <row r="30" spans="1:18" ht="18.75" x14ac:dyDescent="0.3">
      <c r="A30" s="136">
        <v>46048</v>
      </c>
      <c r="B30" s="95"/>
      <c r="C30" s="95"/>
      <c r="D30" s="95"/>
      <c r="E30" s="99"/>
      <c r="F30" s="95"/>
      <c r="G30" s="95"/>
      <c r="H30" s="95"/>
      <c r="I30" s="137"/>
      <c r="J30" s="20"/>
      <c r="K30" s="483"/>
      <c r="L30" s="308"/>
      <c r="M30" s="235"/>
      <c r="N30" s="3"/>
      <c r="O30" s="467"/>
      <c r="P30" s="476"/>
      <c r="Q30" s="469"/>
      <c r="R30" s="110"/>
    </row>
    <row r="31" spans="1:18" ht="18.75" x14ac:dyDescent="0.25">
      <c r="A31" s="136">
        <v>46049</v>
      </c>
      <c r="B31" s="95"/>
      <c r="C31" s="95"/>
      <c r="D31" s="95"/>
      <c r="E31" s="99"/>
      <c r="F31" s="99"/>
      <c r="G31" s="99"/>
      <c r="H31" s="95"/>
      <c r="I31" s="137"/>
      <c r="J31" s="20"/>
      <c r="K31" s="483"/>
      <c r="L31" s="218"/>
      <c r="M31" s="235"/>
      <c r="N31" s="3"/>
      <c r="O31" s="467"/>
      <c r="P31" s="470"/>
      <c r="Q31" s="469"/>
      <c r="R31" s="110"/>
    </row>
    <row r="32" spans="1:18" ht="18.75" x14ac:dyDescent="0.3">
      <c r="A32" s="136">
        <v>46050</v>
      </c>
      <c r="B32" s="95"/>
      <c r="C32" s="95"/>
      <c r="D32" s="95"/>
      <c r="E32" s="99"/>
      <c r="F32" s="99"/>
      <c r="G32" s="99"/>
      <c r="H32" s="95"/>
      <c r="I32" s="137"/>
      <c r="J32" s="20"/>
      <c r="K32" s="236"/>
      <c r="L32" s="233"/>
      <c r="M32" s="237"/>
      <c r="N32" s="3"/>
      <c r="O32" s="467"/>
      <c r="P32" s="470"/>
      <c r="Q32" s="469"/>
      <c r="R32" s="110"/>
    </row>
    <row r="33" spans="1:18" ht="18.75" x14ac:dyDescent="0.3">
      <c r="A33" s="136">
        <v>46051</v>
      </c>
      <c r="B33" s="218"/>
      <c r="C33" s="218"/>
      <c r="D33" s="218"/>
      <c r="E33" s="96"/>
      <c r="F33" s="96"/>
      <c r="G33" s="96"/>
      <c r="H33" s="218"/>
      <c r="I33" s="137"/>
      <c r="J33" s="20"/>
      <c r="K33" s="238"/>
      <c r="L33" s="234"/>
      <c r="M33" s="239"/>
      <c r="N33" s="3"/>
      <c r="O33" s="467"/>
      <c r="P33" s="476"/>
      <c r="Q33" s="469"/>
      <c r="R33" s="110"/>
    </row>
    <row r="34" spans="1:18" ht="18.75" x14ac:dyDescent="0.3">
      <c r="A34" s="192">
        <v>46052</v>
      </c>
      <c r="B34" s="253"/>
      <c r="C34" s="253"/>
      <c r="D34" s="253"/>
      <c r="E34" s="252"/>
      <c r="F34" s="252"/>
      <c r="G34" s="252"/>
      <c r="H34" s="253"/>
      <c r="I34" s="140"/>
      <c r="J34" s="20"/>
      <c r="K34" s="238"/>
      <c r="L34" s="234"/>
      <c r="M34" s="239"/>
      <c r="N34" s="3"/>
      <c r="O34" s="467"/>
      <c r="P34" s="474"/>
      <c r="Q34" s="475"/>
      <c r="R34" s="110"/>
    </row>
    <row r="35" spans="1:18" ht="18.75" x14ac:dyDescent="0.3">
      <c r="A35" s="136">
        <v>46053</v>
      </c>
      <c r="B35" s="95"/>
      <c r="C35" s="95"/>
      <c r="D35" s="95"/>
      <c r="E35" s="99"/>
      <c r="F35" s="99"/>
      <c r="G35" s="99"/>
      <c r="H35" s="95"/>
      <c r="I35" s="137"/>
      <c r="J35" s="20"/>
      <c r="K35" s="238"/>
      <c r="L35" s="234"/>
      <c r="M35" s="239"/>
      <c r="N35" s="3"/>
      <c r="O35" s="467"/>
      <c r="P35" s="471"/>
      <c r="Q35" s="472"/>
      <c r="R35" s="110"/>
    </row>
    <row r="36" spans="1:18" ht="19.5" thickBot="1" x14ac:dyDescent="0.35">
      <c r="A36" s="352" t="s">
        <v>24</v>
      </c>
      <c r="B36" s="335"/>
      <c r="C36" s="335"/>
      <c r="D36" s="335"/>
      <c r="E36" s="335"/>
      <c r="F36" s="335"/>
      <c r="G36" s="335"/>
      <c r="H36" s="335"/>
      <c r="I36" s="335"/>
      <c r="J36" s="20"/>
      <c r="K36" s="238"/>
      <c r="L36" s="234"/>
      <c r="M36" s="239"/>
      <c r="N36" s="3"/>
      <c r="O36" s="467"/>
      <c r="P36" s="471"/>
      <c r="Q36" s="472"/>
      <c r="R36" s="110"/>
    </row>
    <row r="37" spans="1:18" ht="18.75" customHeight="1" x14ac:dyDescent="0.25">
      <c r="A37" s="288" t="s">
        <v>9</v>
      </c>
      <c r="B37" s="289">
        <f>SUM('CAISSE-COFFRE'!$B$5:$B$35)</f>
        <v>0</v>
      </c>
      <c r="C37" s="289">
        <f>SUM(Table_1[Caisse C])</f>
        <v>0</v>
      </c>
      <c r="D37" s="289">
        <f>SUM('CAISSE-COFFRE'!$D$5:$D$35)</f>
        <v>0</v>
      </c>
      <c r="E37" s="289">
        <f>SUM('CAISSE-COFFRE'!$E$5:$E$35)</f>
        <v>0</v>
      </c>
      <c r="F37" s="289">
        <f>SUM('CAISSE-COFFRE'!$F$5:$F$35)</f>
        <v>0</v>
      </c>
      <c r="G37" s="289">
        <f>SUM('CAISSE-COFFRE'!$F$5:$F$35)</f>
        <v>0</v>
      </c>
      <c r="H37" s="289">
        <f>SUM('CAISSE-COFFRE'!$F$5:$F$35)</f>
        <v>0</v>
      </c>
      <c r="I37" s="290">
        <f>SUM('CAISSE-COFFRE'!$I$5:$I$35)</f>
        <v>0</v>
      </c>
      <c r="J37" s="20"/>
      <c r="K37" s="351"/>
      <c r="L37" s="335"/>
      <c r="M37" s="335"/>
      <c r="N37" s="3"/>
      <c r="O37" s="467"/>
      <c r="P37" s="476"/>
      <c r="Q37" s="469"/>
      <c r="R37" s="110"/>
    </row>
    <row r="38" spans="1:18" ht="19.5" customHeight="1" x14ac:dyDescent="0.35">
      <c r="A38" s="142" t="s">
        <v>82</v>
      </c>
      <c r="B38" s="24">
        <f>+MIN(B5:B8,B10:B15,B17:B22,B24:B29,B31:B35)</f>
        <v>0</v>
      </c>
      <c r="C38" s="24"/>
      <c r="D38" s="24">
        <f t="shared" ref="D38:I38" si="0">+MIN(D5:D8,D10:D15,D17:D22,D24:D29,D31:D35)</f>
        <v>0</v>
      </c>
      <c r="E38" s="24">
        <f t="shared" si="0"/>
        <v>0</v>
      </c>
      <c r="F38" s="24">
        <f t="shared" si="0"/>
        <v>0</v>
      </c>
      <c r="G38" s="24"/>
      <c r="H38" s="24">
        <f t="shared" si="0"/>
        <v>0</v>
      </c>
      <c r="I38" s="24">
        <f t="shared" si="0"/>
        <v>0</v>
      </c>
      <c r="J38" s="20"/>
      <c r="K38" s="242" t="s">
        <v>23</v>
      </c>
      <c r="L38" s="243">
        <f>SUM(L30:L36)</f>
        <v>0</v>
      </c>
      <c r="M38" s="3"/>
      <c r="N38" s="3"/>
      <c r="O38" s="467"/>
      <c r="P38" s="471"/>
      <c r="Q38" s="472"/>
      <c r="R38" s="110"/>
    </row>
    <row r="39" spans="1:18" ht="21" x14ac:dyDescent="0.25">
      <c r="A39" s="143" t="s">
        <v>83</v>
      </c>
      <c r="B39" s="25">
        <f>MAX(B5:B8,B10:B15,B17:B22,B24:B29,B31:B35)</f>
        <v>0</v>
      </c>
      <c r="C39" s="25"/>
      <c r="D39" s="25">
        <f t="shared" ref="D39:I39" si="1">MAX(D5:D8,D10:D15,D17:D22,D24:D29,D31:D35)</f>
        <v>0</v>
      </c>
      <c r="E39" s="25">
        <f t="shared" si="1"/>
        <v>0</v>
      </c>
      <c r="F39" s="25">
        <f t="shared" si="1"/>
        <v>0</v>
      </c>
      <c r="G39" s="25"/>
      <c r="H39" s="25">
        <f t="shared" si="1"/>
        <v>0</v>
      </c>
      <c r="I39" s="25">
        <f t="shared" si="1"/>
        <v>0</v>
      </c>
      <c r="J39" s="20"/>
      <c r="K39" s="20"/>
      <c r="L39" s="3"/>
      <c r="M39" s="3"/>
      <c r="N39" s="3"/>
      <c r="O39" s="467"/>
      <c r="P39" s="471"/>
      <c r="Q39" s="472"/>
      <c r="R39" s="110"/>
    </row>
    <row r="40" spans="1:18" ht="21.75" thickBot="1" x14ac:dyDescent="0.3">
      <c r="A40" s="144" t="s">
        <v>84</v>
      </c>
      <c r="B40" s="26" t="e">
        <f>AVERAGE(B5:B8,B10:B15,B17:B22,B24:B29,B31:B35)</f>
        <v>#DIV/0!</v>
      </c>
      <c r="C40" s="26"/>
      <c r="D40" s="26" t="e">
        <f t="shared" ref="D40:H40" si="2">AVERAGE(D5:D8,D10:D15,D17:D22,D24:D29,D31:D35)</f>
        <v>#DIV/0!</v>
      </c>
      <c r="E40" s="26" t="e">
        <f t="shared" si="2"/>
        <v>#DIV/0!</v>
      </c>
      <c r="F40" s="26" t="e">
        <f t="shared" si="2"/>
        <v>#DIV/0!</v>
      </c>
      <c r="G40" s="26"/>
      <c r="H40" s="26" t="e">
        <f t="shared" si="2"/>
        <v>#DIV/0!</v>
      </c>
      <c r="I40" s="26">
        <f>AVERAGE(I5:I8,I10:I15,I17:I22,I24:I29,I31:I35)</f>
        <v>0</v>
      </c>
      <c r="J40" s="3"/>
      <c r="K40" s="20"/>
      <c r="L40" s="3"/>
      <c r="M40" s="3"/>
      <c r="N40" s="3"/>
      <c r="O40" s="467"/>
      <c r="P40" s="476"/>
      <c r="Q40" s="475"/>
      <c r="R40" s="110"/>
    </row>
    <row r="41" spans="1:18" ht="18.75" x14ac:dyDescent="0.25">
      <c r="A41" s="27"/>
      <c r="B41" s="27"/>
      <c r="C41" s="27"/>
      <c r="D41" s="28"/>
      <c r="E41" s="28"/>
      <c r="F41" s="28"/>
      <c r="G41" s="28"/>
      <c r="H41" s="28"/>
      <c r="I41" s="29"/>
      <c r="J41" s="3"/>
      <c r="K41" s="20"/>
      <c r="L41" s="3"/>
      <c r="M41" s="3"/>
      <c r="O41" s="467"/>
      <c r="P41" s="470"/>
      <c r="Q41" s="469"/>
      <c r="R41" s="110"/>
    </row>
    <row r="42" spans="1:18" ht="18.75" customHeight="1" x14ac:dyDescent="0.25">
      <c r="A42" s="27"/>
      <c r="B42" s="27"/>
      <c r="C42" s="27"/>
      <c r="D42" s="28"/>
      <c r="E42" s="28"/>
      <c r="F42" s="28"/>
      <c r="G42" s="28"/>
      <c r="H42" s="28"/>
      <c r="I42" s="3"/>
      <c r="J42" s="3"/>
      <c r="K42" s="20"/>
      <c r="L42" s="3"/>
      <c r="M42" s="3"/>
      <c r="O42" s="467"/>
      <c r="P42" s="470"/>
      <c r="Q42" s="469"/>
      <c r="R42" s="110"/>
    </row>
    <row r="43" spans="1:18" ht="18.75" customHeight="1" x14ac:dyDescent="0.3">
      <c r="A43" s="27"/>
      <c r="B43" s="27"/>
      <c r="C43" s="27"/>
      <c r="D43" s="28"/>
      <c r="E43" s="28"/>
      <c r="F43" s="28"/>
      <c r="G43" s="28"/>
      <c r="H43" s="28"/>
      <c r="I43" s="30"/>
      <c r="J43" s="15"/>
      <c r="K43" s="374" t="s">
        <v>106</v>
      </c>
      <c r="L43" s="374"/>
      <c r="M43" s="374"/>
      <c r="O43" s="467"/>
      <c r="P43" s="470"/>
      <c r="Q43" s="469"/>
      <c r="R43" s="110"/>
    </row>
    <row r="44" spans="1:18" ht="21" customHeight="1" x14ac:dyDescent="0.3">
      <c r="A44" s="27"/>
      <c r="B44" s="27"/>
      <c r="C44" s="27"/>
      <c r="F44" s="28"/>
      <c r="G44" s="28"/>
      <c r="H44" s="28"/>
      <c r="I44" s="28"/>
      <c r="J44" s="29"/>
      <c r="K44" s="232" t="s">
        <v>1</v>
      </c>
      <c r="L44" s="232" t="s">
        <v>39</v>
      </c>
      <c r="M44" s="232" t="s">
        <v>107</v>
      </c>
      <c r="O44" s="467"/>
      <c r="P44" s="476"/>
      <c r="Q44" s="469"/>
      <c r="R44" s="110"/>
    </row>
    <row r="45" spans="1:18" ht="18.75" customHeight="1" x14ac:dyDescent="0.3">
      <c r="A45" s="27"/>
      <c r="B45" s="27"/>
      <c r="C45" s="27"/>
      <c r="F45" s="28"/>
      <c r="G45" s="28"/>
      <c r="H45" s="28"/>
      <c r="I45" s="28"/>
      <c r="J45" s="29"/>
      <c r="K45" s="271"/>
      <c r="L45" s="272"/>
      <c r="M45" s="270"/>
      <c r="O45" s="467"/>
      <c r="P45" s="470"/>
      <c r="Q45" s="469"/>
      <c r="R45" s="110"/>
    </row>
    <row r="46" spans="1:18" ht="18.75" customHeight="1" x14ac:dyDescent="0.25">
      <c r="A46" s="27"/>
      <c r="B46" s="27"/>
      <c r="C46" s="27"/>
      <c r="F46" s="28"/>
      <c r="G46" s="28"/>
      <c r="H46" s="28"/>
      <c r="I46" s="28"/>
      <c r="J46" s="3"/>
      <c r="K46" s="258"/>
      <c r="L46" s="270"/>
      <c r="M46" s="270"/>
      <c r="O46" s="467"/>
      <c r="P46" s="471"/>
      <c r="Q46" s="472"/>
      <c r="R46" s="110"/>
    </row>
    <row r="47" spans="1:18" ht="18.75" customHeight="1" x14ac:dyDescent="0.25">
      <c r="A47" s="27"/>
      <c r="B47" s="27"/>
      <c r="C47" s="27"/>
      <c r="D47" s="28"/>
      <c r="E47" s="28"/>
      <c r="F47" s="28"/>
      <c r="G47" s="28"/>
      <c r="H47" s="28"/>
      <c r="I47" s="28"/>
      <c r="J47" s="30"/>
      <c r="K47" s="337"/>
      <c r="L47" s="270"/>
      <c r="M47" s="270"/>
      <c r="O47" s="467"/>
      <c r="P47" s="471"/>
      <c r="Q47" s="472"/>
      <c r="R47" s="110"/>
    </row>
    <row r="48" spans="1:18" ht="18.75" customHeight="1" x14ac:dyDescent="0.25">
      <c r="A48" s="27"/>
      <c r="B48" s="27"/>
      <c r="C48" s="27"/>
      <c r="D48" s="28"/>
      <c r="E48" s="28"/>
      <c r="F48" s="28"/>
      <c r="G48" s="28"/>
      <c r="H48" s="28"/>
      <c r="I48" s="28"/>
      <c r="J48" s="28"/>
      <c r="K48" s="338"/>
      <c r="L48" s="270"/>
      <c r="M48" s="270"/>
      <c r="O48" s="467"/>
      <c r="P48" s="470"/>
      <c r="Q48" s="469"/>
      <c r="R48" s="110"/>
    </row>
    <row r="49" spans="1:18" ht="18.75" customHeight="1" x14ac:dyDescent="0.25">
      <c r="A49" s="27"/>
      <c r="B49" s="27"/>
      <c r="C49" s="27"/>
      <c r="D49" s="28"/>
      <c r="E49" s="28"/>
      <c r="F49" s="28"/>
      <c r="G49" s="28"/>
      <c r="H49" s="28"/>
      <c r="I49" s="28"/>
      <c r="J49" s="28"/>
      <c r="K49" s="338"/>
      <c r="L49" s="270"/>
      <c r="M49" s="270"/>
      <c r="O49" s="467"/>
      <c r="P49" s="470"/>
      <c r="Q49" s="469"/>
      <c r="R49" s="110"/>
    </row>
    <row r="50" spans="1:18" ht="18.75" customHeight="1" x14ac:dyDescent="0.25">
      <c r="A50" s="27"/>
      <c r="B50" s="27"/>
      <c r="C50" s="27"/>
      <c r="D50" s="28"/>
      <c r="E50" s="28"/>
      <c r="F50" s="28"/>
      <c r="G50" s="28"/>
      <c r="H50" s="28"/>
      <c r="I50" s="28"/>
      <c r="J50" s="28"/>
      <c r="K50" s="338"/>
      <c r="L50" s="270"/>
      <c r="M50" s="270"/>
      <c r="O50" s="467"/>
      <c r="P50" s="470"/>
      <c r="Q50" s="469"/>
      <c r="R50" s="110"/>
    </row>
    <row r="51" spans="1:18" ht="18.75" customHeight="1" x14ac:dyDescent="0.25">
      <c r="A51" s="31"/>
      <c r="B51" s="31"/>
      <c r="C51" s="31"/>
      <c r="D51" s="28"/>
      <c r="E51" s="28"/>
      <c r="F51" s="28"/>
      <c r="G51" s="28"/>
      <c r="H51" s="28"/>
      <c r="I51" s="28"/>
      <c r="J51" s="28"/>
      <c r="K51" s="339"/>
      <c r="L51" s="270"/>
      <c r="M51" s="270"/>
      <c r="O51" s="467"/>
      <c r="P51" s="470"/>
      <c r="Q51" s="469"/>
      <c r="R51" s="110"/>
    </row>
    <row r="52" spans="1:18" ht="18.75" customHeight="1" x14ac:dyDescent="0.25">
      <c r="A52" s="31"/>
      <c r="B52" s="31"/>
      <c r="C52" s="31"/>
      <c r="D52" s="28"/>
      <c r="E52" s="28"/>
      <c r="F52" s="28"/>
      <c r="G52" s="28"/>
      <c r="H52" s="28"/>
      <c r="I52" s="28"/>
      <c r="J52" s="28"/>
      <c r="K52" s="306"/>
      <c r="L52" s="307"/>
      <c r="M52" s="307"/>
      <c r="O52" s="467"/>
      <c r="P52" s="470"/>
      <c r="Q52" s="469"/>
      <c r="R52" s="110"/>
    </row>
    <row r="53" spans="1:18" ht="18.75" customHeight="1" x14ac:dyDescent="0.25">
      <c r="A53" s="31"/>
      <c r="B53" s="31"/>
      <c r="C53" s="31"/>
      <c r="D53" s="28"/>
      <c r="E53" s="28"/>
      <c r="F53" s="28"/>
      <c r="G53" s="28"/>
      <c r="H53" s="28"/>
      <c r="I53" s="28"/>
      <c r="J53" s="28"/>
      <c r="K53" s="375" t="s">
        <v>24</v>
      </c>
      <c r="L53" s="375"/>
      <c r="M53" s="375"/>
      <c r="O53" s="467"/>
      <c r="P53" s="470"/>
      <c r="Q53" s="469"/>
      <c r="R53" s="110"/>
    </row>
    <row r="54" spans="1:18" ht="18.75" customHeight="1" x14ac:dyDescent="0.3">
      <c r="A54" s="31"/>
      <c r="B54" s="31"/>
      <c r="C54" s="31"/>
      <c r="D54" s="28"/>
      <c r="E54" s="28"/>
      <c r="F54" s="28"/>
      <c r="G54" s="28"/>
      <c r="H54" s="28"/>
      <c r="I54" s="28"/>
      <c r="J54" s="28"/>
      <c r="K54" s="232" t="s">
        <v>25</v>
      </c>
      <c r="L54" s="232">
        <f>+SUM(L45:L52)</f>
        <v>0</v>
      </c>
      <c r="M54" s="3"/>
      <c r="N54" s="2"/>
      <c r="O54" s="467"/>
      <c r="P54" s="470"/>
      <c r="Q54" s="469"/>
      <c r="R54" s="110"/>
    </row>
    <row r="55" spans="1:18" ht="18.75" customHeight="1" x14ac:dyDescent="0.25">
      <c r="A55" s="31"/>
      <c r="B55" s="31"/>
      <c r="C55" s="31"/>
      <c r="D55" s="28"/>
      <c r="E55" s="28"/>
      <c r="F55" s="28"/>
      <c r="G55" s="28"/>
      <c r="H55" s="28"/>
      <c r="I55" s="28"/>
      <c r="J55" s="28"/>
      <c r="K55" s="230"/>
      <c r="L55" s="227"/>
      <c r="M55" s="228"/>
      <c r="N55" s="2"/>
      <c r="O55" s="467"/>
      <c r="P55" s="470"/>
      <c r="Q55" s="469"/>
      <c r="R55" s="110"/>
    </row>
    <row r="56" spans="1:18" ht="18.75" customHeight="1" x14ac:dyDescent="0.25">
      <c r="A56" s="31"/>
      <c r="B56" s="31"/>
      <c r="C56" s="31"/>
      <c r="D56" s="28"/>
      <c r="E56" s="28"/>
      <c r="F56" s="28"/>
      <c r="G56" s="28"/>
      <c r="H56" s="28"/>
      <c r="I56" s="28"/>
      <c r="J56" s="28"/>
      <c r="K56" s="230"/>
      <c r="L56" s="227"/>
      <c r="M56" s="229"/>
      <c r="O56" s="467"/>
      <c r="P56" s="470"/>
      <c r="Q56" s="469"/>
      <c r="R56" s="110"/>
    </row>
    <row r="57" spans="1:18" ht="18.75" customHeight="1" x14ac:dyDescent="0.25">
      <c r="A57" s="31"/>
      <c r="B57" s="31"/>
      <c r="C57" s="31"/>
      <c r="D57" s="28"/>
      <c r="E57" s="28"/>
      <c r="F57" s="28"/>
      <c r="G57" s="28"/>
      <c r="H57" s="28"/>
      <c r="I57" s="28"/>
      <c r="J57" s="28"/>
      <c r="K57" s="230"/>
      <c r="L57" s="227"/>
      <c r="M57" s="229"/>
      <c r="O57" s="467"/>
      <c r="P57" s="470"/>
      <c r="Q57" s="469"/>
      <c r="R57" s="110"/>
    </row>
    <row r="58" spans="1:18" ht="18.75" customHeight="1" x14ac:dyDescent="0.25">
      <c r="A58" s="31"/>
      <c r="B58" s="31"/>
      <c r="C58" s="31"/>
      <c r="D58" s="28"/>
      <c r="E58" s="28"/>
      <c r="F58" s="28"/>
      <c r="G58" s="28"/>
      <c r="H58" s="28"/>
      <c r="I58" s="28"/>
      <c r="J58" s="28"/>
      <c r="K58" s="230"/>
      <c r="L58" s="227"/>
      <c r="M58" s="229"/>
      <c r="O58" s="467"/>
      <c r="P58" s="470"/>
      <c r="Q58" s="469"/>
      <c r="R58" s="110"/>
    </row>
    <row r="59" spans="1:18" ht="18.75" customHeight="1" x14ac:dyDescent="0.25">
      <c r="A59" s="2"/>
      <c r="B59" s="11"/>
      <c r="C59" s="11"/>
      <c r="D59" s="3"/>
      <c r="E59" s="3"/>
      <c r="F59" s="3"/>
      <c r="G59" s="3"/>
      <c r="H59" s="3"/>
      <c r="I59" s="28"/>
      <c r="J59" s="28"/>
      <c r="K59" s="230"/>
      <c r="L59" s="227"/>
      <c r="M59" s="229"/>
      <c r="O59" s="467"/>
      <c r="P59" s="471"/>
      <c r="Q59" s="472"/>
      <c r="R59" s="110"/>
    </row>
    <row r="60" spans="1:18" ht="21" customHeight="1" x14ac:dyDescent="0.25">
      <c r="A60" s="2"/>
      <c r="B60" s="11"/>
      <c r="C60" s="11"/>
      <c r="D60" s="3"/>
      <c r="E60" s="3"/>
      <c r="F60" s="3"/>
      <c r="G60" s="3"/>
      <c r="H60" s="3"/>
      <c r="I60" s="28"/>
      <c r="J60" s="28"/>
      <c r="K60" s="230"/>
      <c r="L60" s="227"/>
      <c r="M60" s="229"/>
      <c r="O60" s="467"/>
      <c r="P60" s="470"/>
      <c r="Q60" s="469"/>
      <c r="R60" s="110"/>
    </row>
    <row r="61" spans="1:18" ht="21" customHeight="1" x14ac:dyDescent="0.3">
      <c r="A61" s="2"/>
      <c r="B61" s="11"/>
      <c r="C61" s="11"/>
      <c r="D61" s="3"/>
      <c r="E61" s="32"/>
      <c r="F61" s="32"/>
      <c r="G61" s="32"/>
      <c r="H61" s="32"/>
      <c r="I61" s="28"/>
      <c r="J61" s="28"/>
      <c r="K61" s="230"/>
      <c r="L61" s="227"/>
      <c r="M61" s="229"/>
      <c r="O61" s="467"/>
      <c r="P61" s="478"/>
      <c r="Q61" s="479"/>
      <c r="R61" s="110"/>
    </row>
    <row r="62" spans="1:18" ht="21" customHeight="1" x14ac:dyDescent="0.3">
      <c r="A62" s="2"/>
      <c r="B62" s="11"/>
      <c r="C62" s="11"/>
      <c r="D62" s="3"/>
      <c r="E62" s="32"/>
      <c r="F62" s="32"/>
      <c r="G62" s="32"/>
      <c r="H62" s="32"/>
      <c r="I62" s="28"/>
      <c r="J62" s="28"/>
      <c r="K62" s="230"/>
      <c r="L62" s="227"/>
      <c r="M62" s="229"/>
      <c r="O62" s="467"/>
      <c r="P62" s="471"/>
      <c r="Q62" s="472"/>
      <c r="R62" s="110"/>
    </row>
    <row r="63" spans="1:18" ht="21" customHeight="1" x14ac:dyDescent="0.3">
      <c r="A63" s="2"/>
      <c r="B63" s="11"/>
      <c r="C63" s="11"/>
      <c r="D63" s="3"/>
      <c r="E63" s="32"/>
      <c r="F63" s="32"/>
      <c r="G63" s="32"/>
      <c r="H63" s="32"/>
      <c r="I63" s="28"/>
      <c r="J63" s="28"/>
      <c r="K63" s="230"/>
      <c r="L63" s="227"/>
      <c r="M63" s="229"/>
      <c r="O63" s="467"/>
      <c r="P63" s="471"/>
      <c r="Q63" s="472"/>
      <c r="R63" s="110"/>
    </row>
    <row r="64" spans="1:18" ht="21" customHeight="1" x14ac:dyDescent="0.3">
      <c r="A64" s="2"/>
      <c r="B64" s="11"/>
      <c r="C64" s="11"/>
      <c r="D64" s="3"/>
      <c r="E64" s="32"/>
      <c r="F64" s="32"/>
      <c r="G64" s="32"/>
      <c r="H64" s="32"/>
      <c r="I64" s="3"/>
      <c r="J64" s="28"/>
      <c r="K64" s="230"/>
      <c r="L64" s="227"/>
      <c r="M64" s="229"/>
      <c r="O64" s="467"/>
      <c r="P64" s="470"/>
      <c r="Q64" s="469"/>
      <c r="R64" s="110"/>
    </row>
    <row r="65" spans="1:18" ht="21" customHeight="1" x14ac:dyDescent="0.3">
      <c r="A65" s="2"/>
      <c r="B65" s="11"/>
      <c r="C65" s="11"/>
      <c r="D65" s="3"/>
      <c r="E65" s="32"/>
      <c r="F65" s="32"/>
      <c r="G65" s="32"/>
      <c r="H65" s="32"/>
      <c r="I65" s="3"/>
      <c r="J65" s="28"/>
      <c r="K65" s="230"/>
      <c r="L65" s="227"/>
      <c r="M65" s="229"/>
      <c r="O65" s="467"/>
      <c r="P65" s="471"/>
      <c r="Q65" s="472"/>
      <c r="R65" s="110"/>
    </row>
    <row r="66" spans="1:18" ht="21" customHeight="1" x14ac:dyDescent="0.3">
      <c r="A66" s="2"/>
      <c r="B66" s="11"/>
      <c r="C66" s="11"/>
      <c r="D66" s="3"/>
      <c r="E66" s="32"/>
      <c r="F66" s="32"/>
      <c r="G66" s="32"/>
      <c r="H66" s="32"/>
      <c r="I66" s="32"/>
      <c r="J66" s="28"/>
      <c r="K66" s="230"/>
      <c r="L66" s="227"/>
      <c r="M66" s="229"/>
      <c r="O66" s="467"/>
      <c r="P66" s="471"/>
      <c r="Q66" s="473"/>
      <c r="R66" s="110"/>
    </row>
    <row r="67" spans="1:18" ht="21" customHeight="1" x14ac:dyDescent="0.3">
      <c r="I67" s="32"/>
      <c r="J67" s="28"/>
      <c r="K67" s="230"/>
      <c r="L67" s="227"/>
      <c r="M67" s="229"/>
      <c r="O67" s="467"/>
      <c r="P67" s="474"/>
      <c r="Q67" s="475"/>
      <c r="R67" s="110"/>
    </row>
    <row r="68" spans="1:18" ht="21" customHeight="1" x14ac:dyDescent="0.3">
      <c r="I68" s="32"/>
      <c r="J68" s="3"/>
      <c r="K68" s="230"/>
      <c r="L68" s="227"/>
      <c r="M68" s="229"/>
      <c r="O68" s="467"/>
      <c r="P68" s="470"/>
      <c r="Q68" s="475"/>
      <c r="R68" s="110"/>
    </row>
    <row r="69" spans="1:18" ht="21" customHeight="1" x14ac:dyDescent="0.3">
      <c r="I69" s="32"/>
      <c r="J69" s="3"/>
      <c r="K69" s="230"/>
      <c r="L69" s="227"/>
      <c r="M69" s="229"/>
      <c r="O69" s="467"/>
      <c r="P69" s="471"/>
      <c r="Q69" s="472"/>
      <c r="R69" s="110"/>
    </row>
    <row r="70" spans="1:18" ht="21" customHeight="1" x14ac:dyDescent="0.3">
      <c r="I70" s="32"/>
      <c r="J70" s="32"/>
      <c r="K70" s="230"/>
      <c r="L70" s="227"/>
      <c r="M70" s="229"/>
      <c r="O70" s="467"/>
      <c r="P70" s="470"/>
      <c r="Q70" s="473"/>
      <c r="R70" s="110"/>
    </row>
    <row r="71" spans="1:18" ht="21" customHeight="1" x14ac:dyDescent="0.3">
      <c r="I71" s="32"/>
      <c r="J71" s="32"/>
      <c r="K71" s="230"/>
      <c r="L71" s="227"/>
      <c r="M71" s="229"/>
      <c r="O71" s="467"/>
      <c r="P71" s="471"/>
      <c r="Q71" s="472"/>
      <c r="R71" s="110"/>
    </row>
    <row r="72" spans="1:18" ht="21" customHeight="1" x14ac:dyDescent="0.3">
      <c r="I72" s="32"/>
      <c r="J72" s="32"/>
      <c r="K72" s="230"/>
      <c r="L72" s="227"/>
      <c r="M72" s="229"/>
      <c r="O72" s="480"/>
      <c r="P72" s="471"/>
      <c r="Q72" s="472"/>
      <c r="R72" s="110"/>
    </row>
    <row r="73" spans="1:18" ht="21" customHeight="1" x14ac:dyDescent="0.3">
      <c r="I73" s="32"/>
      <c r="J73" s="32"/>
      <c r="K73" s="230"/>
      <c r="L73" s="227"/>
      <c r="M73" s="229"/>
      <c r="O73" s="480"/>
      <c r="P73" s="477"/>
      <c r="Q73" s="473"/>
      <c r="R73" s="110"/>
    </row>
    <row r="74" spans="1:18" ht="21" customHeight="1" x14ac:dyDescent="0.3">
      <c r="I74" s="32"/>
      <c r="J74" s="32"/>
      <c r="K74" s="230"/>
      <c r="L74" s="227"/>
      <c r="M74" s="229"/>
      <c r="O74" s="480"/>
      <c r="P74" s="476"/>
      <c r="Q74" s="469"/>
      <c r="R74" s="110"/>
    </row>
    <row r="75" spans="1:18" ht="21" customHeight="1" x14ac:dyDescent="0.3">
      <c r="I75" s="32"/>
      <c r="J75" s="32"/>
      <c r="K75" s="230"/>
      <c r="L75" s="227"/>
      <c r="M75" s="229"/>
      <c r="O75" s="480"/>
      <c r="P75" s="476"/>
      <c r="Q75" s="469"/>
      <c r="R75" s="110"/>
    </row>
    <row r="76" spans="1:18" ht="21" customHeight="1" x14ac:dyDescent="0.3">
      <c r="I76" s="32"/>
      <c r="J76" s="32"/>
      <c r="K76" s="230"/>
      <c r="L76" s="227"/>
      <c r="M76" s="229"/>
      <c r="O76" s="481"/>
      <c r="P76" s="474"/>
      <c r="Q76" s="473"/>
      <c r="R76" s="110"/>
    </row>
    <row r="77" spans="1:18" ht="21" customHeight="1" x14ac:dyDescent="0.3">
      <c r="I77" s="32"/>
      <c r="J77" s="32"/>
      <c r="K77" s="230"/>
      <c r="L77" s="227"/>
      <c r="M77" s="229"/>
      <c r="O77" s="481"/>
      <c r="P77" s="482"/>
      <c r="Q77" s="473"/>
      <c r="R77" s="110"/>
    </row>
    <row r="78" spans="1:18" ht="21" customHeight="1" x14ac:dyDescent="0.3">
      <c r="I78" s="32"/>
      <c r="J78" s="32"/>
      <c r="K78" s="230"/>
      <c r="L78" s="227"/>
      <c r="M78" s="229"/>
      <c r="O78" s="481"/>
      <c r="P78" s="482"/>
      <c r="Q78" s="473"/>
      <c r="R78" s="110"/>
    </row>
    <row r="79" spans="1:18" ht="21" customHeight="1" x14ac:dyDescent="0.3">
      <c r="I79" s="32"/>
      <c r="J79" s="32"/>
      <c r="K79" s="230"/>
      <c r="L79" s="227"/>
      <c r="M79" s="229"/>
      <c r="O79" s="146"/>
      <c r="P79" s="202"/>
      <c r="Q79" s="96"/>
      <c r="R79" s="110"/>
    </row>
    <row r="80" spans="1:18" ht="21" customHeight="1" x14ac:dyDescent="0.3">
      <c r="I80" s="32"/>
      <c r="J80" s="32"/>
      <c r="K80" s="230"/>
      <c r="L80" s="227"/>
      <c r="M80" s="229"/>
      <c r="O80" s="152"/>
      <c r="P80" s="203"/>
      <c r="Q80" s="153"/>
      <c r="R80" s="110"/>
    </row>
    <row r="81" spans="9:18" ht="21" customHeight="1" x14ac:dyDescent="0.3">
      <c r="I81" s="32"/>
      <c r="J81" s="32"/>
      <c r="K81" s="230"/>
      <c r="L81" s="227"/>
      <c r="M81" s="229"/>
      <c r="O81" s="224"/>
      <c r="P81" s="215"/>
      <c r="Q81" s="216"/>
      <c r="R81" s="110"/>
    </row>
    <row r="82" spans="9:18" ht="21" customHeight="1" x14ac:dyDescent="0.3">
      <c r="I82" s="32"/>
      <c r="J82" s="32"/>
      <c r="K82" s="230"/>
      <c r="L82" s="227"/>
      <c r="M82" s="229"/>
      <c r="O82" s="225"/>
      <c r="P82" s="203"/>
      <c r="Q82" s="153"/>
      <c r="R82" s="110"/>
    </row>
    <row r="83" spans="9:18" ht="21" customHeight="1" x14ac:dyDescent="0.3">
      <c r="I83" s="32"/>
      <c r="J83" s="32"/>
      <c r="K83" s="230"/>
      <c r="L83" s="227"/>
      <c r="M83" s="229"/>
      <c r="O83" s="224"/>
      <c r="P83" s="215"/>
      <c r="Q83" s="216"/>
      <c r="R83" s="110"/>
    </row>
    <row r="84" spans="9:18" ht="21" customHeight="1" x14ac:dyDescent="0.3">
      <c r="I84" s="32"/>
      <c r="J84" s="32"/>
      <c r="K84" s="230"/>
      <c r="L84" s="227"/>
      <c r="M84" s="229"/>
      <c r="O84" s="373"/>
      <c r="P84" s="373"/>
      <c r="Q84" s="373"/>
      <c r="R84" s="110"/>
    </row>
    <row r="85" spans="9:18" ht="15.75" customHeight="1" x14ac:dyDescent="0.3">
      <c r="I85" s="32"/>
      <c r="J85" s="32"/>
      <c r="K85" s="230"/>
      <c r="L85" s="227"/>
      <c r="M85" s="229"/>
      <c r="O85" s="362" t="s">
        <v>25</v>
      </c>
      <c r="P85" s="363"/>
      <c r="Q85" s="366">
        <f>SUM(Q7:Q83)</f>
        <v>0</v>
      </c>
      <c r="R85" s="110"/>
    </row>
    <row r="86" spans="9:18" ht="15.75" customHeight="1" x14ac:dyDescent="0.3">
      <c r="I86" s="32"/>
      <c r="J86" s="32"/>
      <c r="K86" s="230"/>
      <c r="L86" s="227"/>
      <c r="M86" s="229"/>
      <c r="O86" s="364"/>
      <c r="P86" s="365"/>
      <c r="Q86" s="367"/>
      <c r="R86" s="110"/>
    </row>
    <row r="87" spans="9:18" ht="15.75" customHeight="1" x14ac:dyDescent="0.3">
      <c r="I87" s="32"/>
      <c r="J87" s="32"/>
      <c r="K87" s="230"/>
      <c r="L87" s="227"/>
      <c r="M87" s="229"/>
      <c r="R87" s="110"/>
    </row>
    <row r="88" spans="9:18" ht="15.75" customHeight="1" x14ac:dyDescent="0.3">
      <c r="I88" s="32"/>
      <c r="J88" s="32"/>
      <c r="K88" s="230"/>
      <c r="L88" s="227"/>
      <c r="M88" s="229"/>
      <c r="R88" s="110"/>
    </row>
    <row r="89" spans="9:18" ht="15.75" customHeight="1" x14ac:dyDescent="0.3">
      <c r="I89" s="32"/>
      <c r="J89" s="32"/>
      <c r="K89" s="230"/>
      <c r="L89" s="227"/>
      <c r="M89" s="229"/>
      <c r="R89" s="110"/>
    </row>
    <row r="90" spans="9:18" ht="15.75" customHeight="1" x14ac:dyDescent="0.3">
      <c r="I90" s="32"/>
      <c r="J90" s="32"/>
      <c r="K90" s="230"/>
      <c r="L90" s="227"/>
      <c r="M90" s="229"/>
      <c r="R90" s="110"/>
    </row>
    <row r="91" spans="9:18" ht="15.75" customHeight="1" x14ac:dyDescent="0.3">
      <c r="I91" s="32"/>
      <c r="J91" s="32"/>
      <c r="K91" s="230"/>
      <c r="L91" s="227"/>
      <c r="M91" s="229"/>
      <c r="R91" s="110"/>
    </row>
    <row r="92" spans="9:18" ht="15.75" customHeight="1" x14ac:dyDescent="0.3">
      <c r="I92" s="32"/>
      <c r="J92" s="32"/>
      <c r="K92" s="230"/>
      <c r="L92" s="227"/>
      <c r="M92" s="229"/>
      <c r="R92" s="110"/>
    </row>
    <row r="93" spans="9:18" ht="15.75" customHeight="1" x14ac:dyDescent="0.3">
      <c r="I93" s="32"/>
      <c r="J93" s="32"/>
      <c r="K93" s="230"/>
      <c r="L93" s="227"/>
      <c r="M93" s="229"/>
      <c r="R93" s="110"/>
    </row>
    <row r="94" spans="9:18" ht="15.75" customHeight="1" x14ac:dyDescent="0.3">
      <c r="I94" s="32"/>
      <c r="J94" s="32"/>
      <c r="K94" s="230"/>
      <c r="L94" s="227"/>
      <c r="M94" s="229"/>
      <c r="R94" s="110"/>
    </row>
    <row r="95" spans="9:18" ht="15.75" customHeight="1" x14ac:dyDescent="0.3">
      <c r="I95" s="32"/>
      <c r="J95" s="32"/>
      <c r="K95" s="230"/>
      <c r="L95" s="227"/>
      <c r="M95" s="229"/>
      <c r="R95" s="110"/>
    </row>
    <row r="96" spans="9:18" ht="15.75" customHeight="1" x14ac:dyDescent="0.3">
      <c r="I96" s="32"/>
      <c r="J96" s="32"/>
      <c r="K96" s="230"/>
      <c r="L96" s="227"/>
      <c r="M96" s="229"/>
      <c r="R96" s="110"/>
    </row>
    <row r="97" spans="9:18" ht="15.75" customHeight="1" x14ac:dyDescent="0.3">
      <c r="I97" s="32"/>
      <c r="J97" s="32"/>
      <c r="K97" s="230"/>
      <c r="L97" s="227"/>
      <c r="M97" s="229"/>
      <c r="R97" s="110"/>
    </row>
    <row r="98" spans="9:18" ht="15.75" customHeight="1" x14ac:dyDescent="0.3">
      <c r="I98" s="32"/>
      <c r="J98" s="32"/>
      <c r="K98" s="230"/>
      <c r="L98" s="227"/>
      <c r="M98" s="229"/>
      <c r="R98" s="110"/>
    </row>
    <row r="99" spans="9:18" ht="15.75" customHeight="1" x14ac:dyDescent="0.3">
      <c r="I99" s="32"/>
      <c r="J99" s="32"/>
      <c r="K99" s="230"/>
      <c r="L99" s="227"/>
      <c r="M99" s="229"/>
      <c r="R99" s="110"/>
    </row>
    <row r="100" spans="9:18" ht="15.75" customHeight="1" x14ac:dyDescent="0.3">
      <c r="I100" s="32"/>
      <c r="J100" s="32"/>
      <c r="K100" s="231"/>
      <c r="L100" s="231"/>
      <c r="M100" s="231"/>
      <c r="R100" s="110"/>
    </row>
    <row r="101" spans="9:18" ht="15.75" customHeight="1" x14ac:dyDescent="0.3">
      <c r="I101" s="32"/>
      <c r="J101" s="32"/>
      <c r="K101" s="226"/>
      <c r="L101" s="226"/>
      <c r="M101" s="226"/>
      <c r="R101" s="110"/>
    </row>
    <row r="102" spans="9:18" ht="15.75" customHeight="1" x14ac:dyDescent="0.3">
      <c r="I102" s="32"/>
      <c r="J102" s="32"/>
      <c r="K102" s="3"/>
      <c r="L102" s="11"/>
      <c r="M102" s="3"/>
      <c r="R102" s="110"/>
    </row>
    <row r="103" spans="9:18" ht="15.75" customHeight="1" x14ac:dyDescent="0.3">
      <c r="I103" s="32"/>
      <c r="J103" s="32"/>
      <c r="K103" s="3"/>
      <c r="L103" s="3"/>
      <c r="M103" s="3"/>
      <c r="R103" s="110"/>
    </row>
    <row r="104" spans="9:18" ht="15.75" customHeight="1" x14ac:dyDescent="0.3">
      <c r="J104" s="32"/>
      <c r="K104" s="3"/>
      <c r="L104" s="3"/>
      <c r="M104" s="3"/>
      <c r="R104" s="110"/>
    </row>
    <row r="105" spans="9:18" ht="15.75" customHeight="1" x14ac:dyDescent="0.3">
      <c r="J105" s="32"/>
      <c r="K105" s="3"/>
      <c r="L105" s="3"/>
      <c r="M105" s="3"/>
      <c r="R105" s="110"/>
    </row>
    <row r="106" spans="9:18" ht="15.75" customHeight="1" x14ac:dyDescent="0.3">
      <c r="J106" s="32"/>
      <c r="K106" s="30"/>
      <c r="L106" s="3"/>
      <c r="M106" s="30"/>
      <c r="R106" s="110"/>
    </row>
    <row r="107" spans="9:18" ht="15.75" customHeight="1" x14ac:dyDescent="0.25">
      <c r="K107" s="28"/>
      <c r="L107" s="30"/>
      <c r="M107" s="28"/>
      <c r="R107" s="110"/>
    </row>
    <row r="108" spans="9:18" ht="15" customHeight="1" x14ac:dyDescent="0.25">
      <c r="K108" s="28"/>
      <c r="L108" s="28"/>
      <c r="M108" s="28"/>
      <c r="R108" s="110"/>
    </row>
    <row r="109" spans="9:18" ht="15" customHeight="1" x14ac:dyDescent="0.25">
      <c r="K109" s="28"/>
      <c r="L109" s="28"/>
      <c r="M109" s="28"/>
      <c r="R109" s="110"/>
    </row>
    <row r="110" spans="9:18" ht="15" customHeight="1" x14ac:dyDescent="0.25">
      <c r="K110" s="28"/>
      <c r="L110" s="28"/>
      <c r="M110" s="28"/>
      <c r="R110" s="110"/>
    </row>
    <row r="111" spans="9:18" ht="15" customHeight="1" x14ac:dyDescent="0.25">
      <c r="K111" s="28"/>
      <c r="L111" s="28"/>
      <c r="M111" s="28"/>
    </row>
    <row r="112" spans="9:18" ht="15" customHeight="1" x14ac:dyDescent="0.25">
      <c r="K112" s="28"/>
      <c r="L112" s="28"/>
      <c r="M112" s="28"/>
    </row>
    <row r="113" spans="11:13" ht="15" customHeight="1" x14ac:dyDescent="0.25">
      <c r="K113" s="28"/>
      <c r="L113" s="28"/>
      <c r="M113" s="28"/>
    </row>
    <row r="114" spans="11:13" ht="15" customHeight="1" x14ac:dyDescent="0.25">
      <c r="K114" s="28"/>
      <c r="L114" s="28"/>
      <c r="M114" s="28"/>
    </row>
    <row r="115" spans="11:13" ht="15" customHeight="1" x14ac:dyDescent="0.25">
      <c r="K115" s="28"/>
      <c r="L115" s="28"/>
      <c r="M115" s="28"/>
    </row>
    <row r="116" spans="11:13" ht="15" customHeight="1" x14ac:dyDescent="0.25">
      <c r="K116" s="28"/>
      <c r="L116" s="28"/>
      <c r="M116" s="28"/>
    </row>
    <row r="117" spans="11:13" ht="15" customHeight="1" x14ac:dyDescent="0.25">
      <c r="K117" s="28"/>
      <c r="L117" s="28"/>
      <c r="M117" s="28"/>
    </row>
    <row r="118" spans="11:13" ht="15" customHeight="1" x14ac:dyDescent="0.25">
      <c r="K118" s="33"/>
      <c r="L118" s="28"/>
      <c r="M118" s="33"/>
    </row>
    <row r="119" spans="11:13" ht="15" customHeight="1" x14ac:dyDescent="0.25">
      <c r="K119" s="34"/>
      <c r="L119" s="33"/>
      <c r="M119" s="34"/>
    </row>
    <row r="120" spans="11:13" ht="15" customHeight="1" x14ac:dyDescent="0.25">
      <c r="K120" s="33"/>
      <c r="L120" s="34"/>
      <c r="M120" s="33"/>
    </row>
    <row r="121" spans="11:13" ht="15" customHeight="1" x14ac:dyDescent="0.25">
      <c r="K121" s="33"/>
      <c r="L121" s="33"/>
      <c r="M121" s="33"/>
    </row>
    <row r="122" spans="11:13" ht="15" customHeight="1" x14ac:dyDescent="0.25">
      <c r="K122" s="34"/>
      <c r="L122" s="33"/>
      <c r="M122" s="34"/>
    </row>
    <row r="123" spans="11:13" ht="15" customHeight="1" x14ac:dyDescent="0.25">
      <c r="K123" s="34"/>
      <c r="L123" s="34"/>
      <c r="M123" s="34"/>
    </row>
    <row r="124" spans="11:13" ht="15" customHeight="1" x14ac:dyDescent="0.25">
      <c r="K124" s="34"/>
      <c r="L124" s="34"/>
      <c r="M124" s="34"/>
    </row>
    <row r="125" spans="11:13" ht="15" customHeight="1" x14ac:dyDescent="0.25">
      <c r="K125" s="34"/>
      <c r="L125" s="34"/>
      <c r="M125" s="34"/>
    </row>
    <row r="126" spans="11:13" ht="15" customHeight="1" x14ac:dyDescent="0.25">
      <c r="K126" s="34"/>
      <c r="L126" s="34"/>
      <c r="M126" s="34"/>
    </row>
    <row r="127" spans="11:13" ht="15" customHeight="1" x14ac:dyDescent="0.25">
      <c r="K127" s="34"/>
      <c r="L127" s="34"/>
      <c r="M127" s="34"/>
    </row>
    <row r="128" spans="11:13" ht="15" customHeight="1" x14ac:dyDescent="0.25">
      <c r="K128" s="34"/>
      <c r="L128" s="34"/>
      <c r="M128" s="34"/>
    </row>
    <row r="129" spans="11:13" ht="15" customHeight="1" x14ac:dyDescent="0.25">
      <c r="K129" s="34"/>
      <c r="L129" s="34"/>
      <c r="M129" s="34"/>
    </row>
    <row r="130" spans="11:13" ht="15" customHeight="1" x14ac:dyDescent="0.25">
      <c r="K130" s="34"/>
      <c r="L130" s="34"/>
      <c r="M130" s="34"/>
    </row>
    <row r="131" spans="11:13" ht="15" customHeight="1" x14ac:dyDescent="0.25">
      <c r="K131" s="34"/>
      <c r="L131" s="34"/>
      <c r="M131" s="34"/>
    </row>
    <row r="132" spans="11:13" ht="15" customHeight="1" x14ac:dyDescent="0.25">
      <c r="K132" s="34"/>
      <c r="L132" s="34"/>
      <c r="M132" s="34"/>
    </row>
    <row r="133" spans="11:13" ht="15" customHeight="1" x14ac:dyDescent="0.25">
      <c r="K133" s="34"/>
      <c r="L133" s="34"/>
      <c r="M133" s="34"/>
    </row>
    <row r="134" spans="11:13" ht="15" customHeight="1" x14ac:dyDescent="0.25">
      <c r="K134" s="34"/>
      <c r="L134" s="34"/>
      <c r="M134" s="34"/>
    </row>
    <row r="135" spans="11:13" ht="15" customHeight="1" x14ac:dyDescent="0.25">
      <c r="K135" s="34"/>
      <c r="L135" s="34"/>
      <c r="M135" s="34"/>
    </row>
    <row r="136" spans="11:13" ht="15" customHeight="1" x14ac:dyDescent="0.25">
      <c r="K136" s="34"/>
      <c r="L136" s="34"/>
      <c r="M136" s="34"/>
    </row>
    <row r="137" spans="11:13" ht="15" customHeight="1" x14ac:dyDescent="0.25">
      <c r="K137" s="34"/>
      <c r="L137" s="34"/>
      <c r="M137" s="34"/>
    </row>
    <row r="138" spans="11:13" ht="15" customHeight="1" x14ac:dyDescent="0.25">
      <c r="K138" s="34"/>
      <c r="L138" s="34"/>
      <c r="M138" s="34"/>
    </row>
    <row r="139" spans="11:13" ht="15" customHeight="1" x14ac:dyDescent="0.25">
      <c r="K139" s="34"/>
      <c r="L139" s="34"/>
      <c r="M139" s="34"/>
    </row>
    <row r="140" spans="11:13" ht="15" customHeight="1" x14ac:dyDescent="0.25">
      <c r="K140" s="34"/>
      <c r="L140" s="34"/>
      <c r="M140" s="34"/>
    </row>
    <row r="141" spans="11:13" ht="15" customHeight="1" x14ac:dyDescent="0.25">
      <c r="K141" s="34"/>
      <c r="L141" s="34"/>
      <c r="M141" s="34"/>
    </row>
    <row r="142" spans="11:13" ht="15" customHeight="1" x14ac:dyDescent="0.25">
      <c r="K142" s="34"/>
      <c r="L142" s="34"/>
      <c r="M142" s="34"/>
    </row>
    <row r="143" spans="11:13" ht="15" customHeight="1" x14ac:dyDescent="0.25">
      <c r="K143" s="34"/>
      <c r="L143" s="34"/>
      <c r="M143" s="34"/>
    </row>
    <row r="144" spans="11:13" ht="15" customHeight="1" x14ac:dyDescent="0.25">
      <c r="K144" s="34"/>
      <c r="L144" s="34"/>
      <c r="M144" s="34"/>
    </row>
    <row r="145" spans="11:13" ht="15" customHeight="1" x14ac:dyDescent="0.25">
      <c r="K145" s="34"/>
      <c r="L145" s="34"/>
      <c r="M145" s="34"/>
    </row>
    <row r="146" spans="11:13" ht="15" customHeight="1" x14ac:dyDescent="0.25">
      <c r="K146" s="34"/>
      <c r="L146" s="34"/>
      <c r="M146" s="34"/>
    </row>
    <row r="147" spans="11:13" ht="15" customHeight="1" x14ac:dyDescent="0.25">
      <c r="K147" s="34"/>
      <c r="L147" s="34"/>
      <c r="M147" s="34"/>
    </row>
    <row r="148" spans="11:13" ht="15" customHeight="1" x14ac:dyDescent="0.25">
      <c r="K148" s="34"/>
      <c r="L148" s="34"/>
      <c r="M148" s="34"/>
    </row>
    <row r="149" spans="11:13" ht="15" customHeight="1" x14ac:dyDescent="0.25">
      <c r="K149" s="34"/>
      <c r="L149" s="34"/>
      <c r="M149" s="34"/>
    </row>
    <row r="150" spans="11:13" ht="15" customHeight="1" x14ac:dyDescent="0.25">
      <c r="K150" s="34"/>
      <c r="L150" s="34"/>
      <c r="M150" s="34"/>
    </row>
    <row r="151" spans="11:13" ht="15" customHeight="1" x14ac:dyDescent="0.25">
      <c r="K151" s="34"/>
      <c r="L151" s="34"/>
      <c r="M151" s="34"/>
    </row>
    <row r="152" spans="11:13" ht="15" customHeight="1" x14ac:dyDescent="0.25">
      <c r="K152" s="34"/>
      <c r="L152" s="34"/>
      <c r="M152" s="34"/>
    </row>
    <row r="153" spans="11:13" ht="15" customHeight="1" x14ac:dyDescent="0.25">
      <c r="K153" s="34"/>
      <c r="L153" s="34"/>
      <c r="M153" s="34"/>
    </row>
    <row r="154" spans="11:13" ht="15" customHeight="1" x14ac:dyDescent="0.25">
      <c r="K154" s="34"/>
      <c r="L154" s="34"/>
      <c r="M154" s="34"/>
    </row>
    <row r="155" spans="11:13" ht="15" customHeight="1" x14ac:dyDescent="0.25">
      <c r="K155" s="34"/>
      <c r="L155" s="34"/>
      <c r="M155" s="34"/>
    </row>
    <row r="156" spans="11:13" ht="15" customHeight="1" x14ac:dyDescent="0.25">
      <c r="K156" s="34"/>
      <c r="L156" s="34"/>
      <c r="M156" s="34"/>
    </row>
    <row r="157" spans="11:13" ht="15" customHeight="1" x14ac:dyDescent="0.25">
      <c r="K157" s="34"/>
      <c r="L157" s="34"/>
      <c r="M157" s="34"/>
    </row>
    <row r="158" spans="11:13" ht="15" customHeight="1" x14ac:dyDescent="0.25">
      <c r="K158" s="34"/>
      <c r="L158" s="34"/>
      <c r="M158" s="34"/>
    </row>
    <row r="159" spans="11:13" ht="15" customHeight="1" x14ac:dyDescent="0.25">
      <c r="K159" s="34"/>
      <c r="L159" s="34"/>
      <c r="M159" s="34"/>
    </row>
  </sheetData>
  <mergeCells count="33">
    <mergeCell ref="O5:Q5"/>
    <mergeCell ref="K5:M5"/>
    <mergeCell ref="K6:M7"/>
    <mergeCell ref="K8:M8"/>
    <mergeCell ref="K9:M9"/>
    <mergeCell ref="A1:I2"/>
    <mergeCell ref="K1:Q2"/>
    <mergeCell ref="A3:I3"/>
    <mergeCell ref="K3:Q3"/>
    <mergeCell ref="K4:M4"/>
    <mergeCell ref="O4:Q4"/>
    <mergeCell ref="O85:P86"/>
    <mergeCell ref="Q85:Q86"/>
    <mergeCell ref="K25:M25"/>
    <mergeCell ref="K28:M28"/>
    <mergeCell ref="K37:M37"/>
    <mergeCell ref="K26:M27"/>
    <mergeCell ref="O84:Q84"/>
    <mergeCell ref="K43:M43"/>
    <mergeCell ref="K53:M53"/>
    <mergeCell ref="A36:I36"/>
    <mergeCell ref="K17:M17"/>
    <mergeCell ref="K22:M23"/>
    <mergeCell ref="K24:M24"/>
    <mergeCell ref="K20:M20"/>
    <mergeCell ref="K21:M21"/>
    <mergeCell ref="K18:M19"/>
    <mergeCell ref="K47:K51"/>
    <mergeCell ref="K12:M12"/>
    <mergeCell ref="K13:M13"/>
    <mergeCell ref="L10:M11"/>
    <mergeCell ref="K16:M16"/>
    <mergeCell ref="K14:M15"/>
  </mergeCells>
  <phoneticPr fontId="51" type="noConversion"/>
  <conditionalFormatting sqref="K102:K159 L103:M159">
    <cfRule type="cellIs" dxfId="0" priority="1" operator="lessThan">
      <formula>0</formula>
    </cfRule>
  </conditionalFormatting>
  <pageMargins left="0.7" right="0.7" top="0.75" bottom="0.75" header="0" footer="0"/>
  <pageSetup paperSize="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63"/>
  <sheetViews>
    <sheetView topLeftCell="A27" zoomScale="85" zoomScaleNormal="85" workbookViewId="0">
      <selection activeCell="B44" sqref="B44"/>
    </sheetView>
  </sheetViews>
  <sheetFormatPr baseColWidth="10" defaultColWidth="14.42578125" defaultRowHeight="15" customHeight="1" x14ac:dyDescent="0.25"/>
  <cols>
    <col min="1" max="1" width="76.85546875" bestFit="1" customWidth="1"/>
    <col min="2" max="2" width="38.28515625" customWidth="1"/>
    <col min="3" max="3" width="26.28515625" customWidth="1"/>
    <col min="4" max="4" width="22.42578125" customWidth="1"/>
    <col min="7" max="11" width="14.42578125" customWidth="1"/>
  </cols>
  <sheetData>
    <row r="1" spans="1:4" ht="18.75" x14ac:dyDescent="0.25">
      <c r="A1" s="133" t="s">
        <v>26</v>
      </c>
      <c r="B1" s="134" t="s">
        <v>27</v>
      </c>
      <c r="C1" s="181" t="s">
        <v>28</v>
      </c>
      <c r="D1" s="182" t="s">
        <v>29</v>
      </c>
    </row>
    <row r="2" spans="1:4" ht="18" x14ac:dyDescent="0.25">
      <c r="A2" s="184"/>
      <c r="B2" s="177"/>
      <c r="C2" s="168"/>
      <c r="D2" s="183">
        <f>+Table_2[[#This Row],[TOTAL DES COMMANDES ]]-Table_2[[#This Row],[PAYER ]]</f>
        <v>0</v>
      </c>
    </row>
    <row r="3" spans="1:4" ht="18" x14ac:dyDescent="0.25">
      <c r="A3" s="185"/>
      <c r="B3" s="180"/>
      <c r="C3" s="169"/>
      <c r="D3" s="183">
        <f>+Table_2[[#This Row],[TOTAL DES COMMANDES ]]-Table_2[[#This Row],[PAYER ]]</f>
        <v>0</v>
      </c>
    </row>
    <row r="4" spans="1:4" ht="18" x14ac:dyDescent="0.25">
      <c r="A4" s="184"/>
      <c r="B4" s="167"/>
      <c r="C4" s="178"/>
      <c r="D4" s="183">
        <f>+Table_2[[#This Row],[TOTAL DES COMMANDES ]]-Table_2[[#This Row],[PAYER ]]</f>
        <v>0</v>
      </c>
    </row>
    <row r="5" spans="1:4" ht="18" x14ac:dyDescent="0.25">
      <c r="A5" s="184"/>
      <c r="B5" s="176"/>
      <c r="C5" s="178"/>
      <c r="D5" s="183">
        <f>+Table_2[[#This Row],[TOTAL DES COMMANDES ]]-Table_2[[#This Row],[PAYER ]]</f>
        <v>0</v>
      </c>
    </row>
    <row r="6" spans="1:4" ht="18" x14ac:dyDescent="0.25">
      <c r="A6" s="184"/>
      <c r="B6" s="176"/>
      <c r="C6" s="178"/>
      <c r="D6" s="183">
        <f>+Table_2[[#This Row],[TOTAL DES COMMANDES ]]-Table_2[[#This Row],[PAYER ]]</f>
        <v>0</v>
      </c>
    </row>
    <row r="7" spans="1:4" ht="18" x14ac:dyDescent="0.25">
      <c r="A7" s="184"/>
      <c r="B7" s="176"/>
      <c r="C7" s="178"/>
      <c r="D7" s="183">
        <f>+Table_2[[#This Row],[TOTAL DES COMMANDES ]]-Table_2[[#This Row],[PAYER ]]</f>
        <v>0</v>
      </c>
    </row>
    <row r="8" spans="1:4" ht="18" x14ac:dyDescent="0.25">
      <c r="A8" s="184"/>
      <c r="B8" s="167"/>
      <c r="C8" s="178"/>
      <c r="D8" s="183">
        <f>+Table_2[[#This Row],[TOTAL DES COMMANDES ]]-Table_2[[#This Row],[PAYER ]]</f>
        <v>0</v>
      </c>
    </row>
    <row r="9" spans="1:4" ht="18" x14ac:dyDescent="0.25">
      <c r="A9" s="184"/>
      <c r="B9" s="176"/>
      <c r="C9" s="178"/>
      <c r="D9" s="183">
        <f>+Table_2[[#This Row],[TOTAL DES COMMANDES ]]-Table_2[[#This Row],[PAYER ]]</f>
        <v>0</v>
      </c>
    </row>
    <row r="10" spans="1:4" ht="18" x14ac:dyDescent="0.25">
      <c r="A10" s="184"/>
      <c r="B10" s="176"/>
      <c r="C10" s="178"/>
      <c r="D10" s="183">
        <f>+Table_2[[#This Row],[TOTAL DES COMMANDES ]]-Table_2[[#This Row],[PAYER ]]</f>
        <v>0</v>
      </c>
    </row>
    <row r="11" spans="1:4" ht="18" x14ac:dyDescent="0.25">
      <c r="A11" s="184"/>
      <c r="B11" s="170"/>
      <c r="C11" s="178"/>
      <c r="D11" s="183">
        <f>+Table_2[[#This Row],[TOTAL DES COMMANDES ]]-Table_2[[#This Row],[PAYER ]]</f>
        <v>0</v>
      </c>
    </row>
    <row r="12" spans="1:4" ht="18" x14ac:dyDescent="0.25">
      <c r="A12" s="184"/>
      <c r="B12" s="170"/>
      <c r="C12" s="178"/>
      <c r="D12" s="183">
        <f>+Table_2[[#This Row],[TOTAL DES COMMANDES ]]-Table_2[[#This Row],[PAYER ]]</f>
        <v>0</v>
      </c>
    </row>
    <row r="13" spans="1:4" ht="18" x14ac:dyDescent="0.25">
      <c r="A13" s="186"/>
      <c r="B13" s="167"/>
      <c r="C13" s="179"/>
      <c r="D13" s="183">
        <f>+Table_2[[#This Row],[TOTAL DES COMMANDES ]]-Table_2[[#This Row],[PAYER ]]</f>
        <v>0</v>
      </c>
    </row>
    <row r="14" spans="1:4" ht="18" x14ac:dyDescent="0.25">
      <c r="A14" s="187"/>
      <c r="B14" s="170"/>
      <c r="C14" s="179"/>
      <c r="D14" s="191">
        <f>+Table_2[[#This Row],[TOTAL DES COMMANDES ]]-Table_2[[#This Row],[PAYER ]]</f>
        <v>0</v>
      </c>
    </row>
    <row r="15" spans="1:4" ht="18" x14ac:dyDescent="0.25">
      <c r="A15" s="187"/>
      <c r="B15" s="170"/>
      <c r="C15" s="179"/>
      <c r="D15" s="172">
        <f>+Table_2[[#This Row],[TOTAL DES COMMANDES ]]-Table_2[[#This Row],[PAYER ]]</f>
        <v>0</v>
      </c>
    </row>
    <row r="16" spans="1:4" ht="18" x14ac:dyDescent="0.25">
      <c r="A16" s="187"/>
      <c r="B16" s="168"/>
      <c r="C16" s="204"/>
      <c r="D16" s="172">
        <f>+Table_2[[#This Row],[TOTAL DES COMMANDES ]]-Table_2[[#This Row],[PAYER ]]</f>
        <v>0</v>
      </c>
    </row>
    <row r="17" spans="1:4" ht="18" x14ac:dyDescent="0.25">
      <c r="A17" s="187"/>
      <c r="B17" s="168"/>
      <c r="C17" s="204"/>
      <c r="D17" s="172">
        <f>+Table_2[[#This Row],[TOTAL DES COMMANDES ]]-Table_2[[#This Row],[PAYER ]]</f>
        <v>0</v>
      </c>
    </row>
    <row r="18" spans="1:4" ht="18" x14ac:dyDescent="0.25">
      <c r="A18" s="187"/>
      <c r="B18" s="170"/>
      <c r="C18" s="171"/>
      <c r="D18" s="172">
        <f>+Table_2[[#This Row],[TOTAL DES COMMANDES ]]-Table_2[[#This Row],[PAYER ]]</f>
        <v>0</v>
      </c>
    </row>
    <row r="19" spans="1:4" ht="18" x14ac:dyDescent="0.25">
      <c r="A19" s="188"/>
      <c r="B19" s="172"/>
      <c r="C19" s="173"/>
      <c r="D19" s="172">
        <f>+Table_2[[#This Row],[TOTAL DES COMMANDES ]]-Table_2[[#This Row],[PAYER ]]</f>
        <v>0</v>
      </c>
    </row>
    <row r="20" spans="1:4" ht="18" x14ac:dyDescent="0.25">
      <c r="A20" s="193"/>
      <c r="B20" s="170"/>
      <c r="C20" s="171"/>
      <c r="D20" s="172">
        <f>+Table_2[[#This Row],[TOTAL DES COMMANDES ]]-Table_2[[#This Row],[PAYER ]]</f>
        <v>0</v>
      </c>
    </row>
    <row r="21" spans="1:4" ht="18" x14ac:dyDescent="0.25">
      <c r="A21" s="194"/>
      <c r="B21" s="174"/>
      <c r="C21" s="173"/>
      <c r="D21" s="172">
        <f>+Table_2[[#This Row],[TOTAL DES COMMANDES ]]-Table_2[[#This Row],[PAYER ]]</f>
        <v>0</v>
      </c>
    </row>
    <row r="22" spans="1:4" ht="18" x14ac:dyDescent="0.25">
      <c r="A22" s="194"/>
      <c r="B22" s="170"/>
      <c r="C22" s="173"/>
      <c r="D22" s="172">
        <f>+Table_2[[#This Row],[TOTAL DES COMMANDES ]]-Table_2[[#This Row],[PAYER ]]</f>
        <v>0</v>
      </c>
    </row>
    <row r="23" spans="1:4" ht="18" x14ac:dyDescent="0.25">
      <c r="A23" s="194"/>
      <c r="B23" s="170"/>
      <c r="C23" s="173"/>
      <c r="D23" s="172">
        <f>+Table_2[[#This Row],[TOTAL DES COMMANDES ]]-Table_2[[#This Row],[PAYER ]]</f>
        <v>0</v>
      </c>
    </row>
    <row r="24" spans="1:4" ht="18" x14ac:dyDescent="0.25">
      <c r="A24" s="194"/>
      <c r="B24" s="170"/>
      <c r="C24" s="173"/>
      <c r="D24" s="172">
        <f>+Table_2[[#This Row],[TOTAL DES COMMANDES ]]-Table_2[[#This Row],[PAYER ]]</f>
        <v>0</v>
      </c>
    </row>
    <row r="25" spans="1:4" ht="18" x14ac:dyDescent="0.25">
      <c r="A25" s="194"/>
      <c r="B25" s="170"/>
      <c r="C25" s="173"/>
      <c r="D25" s="172">
        <f>+Table_2[[#This Row],[TOTAL DES COMMANDES ]]-Table_2[[#This Row],[PAYER ]]</f>
        <v>0</v>
      </c>
    </row>
    <row r="26" spans="1:4" ht="18" x14ac:dyDescent="0.25">
      <c r="A26" s="194"/>
      <c r="B26" s="170"/>
      <c r="C26" s="170"/>
      <c r="D26" s="172">
        <f>+Table_2[[#This Row],[TOTAL DES COMMANDES ]]-Table_2[[#This Row],[PAYER ]]</f>
        <v>0</v>
      </c>
    </row>
    <row r="27" spans="1:4" ht="18" x14ac:dyDescent="0.25">
      <c r="A27" s="194"/>
      <c r="B27" s="170"/>
      <c r="C27" s="171"/>
      <c r="D27" s="172">
        <f>+Table_2[[#This Row],[TOTAL DES COMMANDES ]]-Table_2[[#This Row],[PAYER ]]</f>
        <v>0</v>
      </c>
    </row>
    <row r="28" spans="1:4" ht="18" x14ac:dyDescent="0.25">
      <c r="A28" s="244"/>
      <c r="B28" s="170"/>
      <c r="C28" s="171"/>
      <c r="D28" s="172">
        <f>+Table_2[[#This Row],[TOTAL DES COMMANDES ]]-Table_2[[#This Row],[PAYER ]]</f>
        <v>0</v>
      </c>
    </row>
    <row r="29" spans="1:4" ht="18" x14ac:dyDescent="0.25">
      <c r="A29" s="194"/>
      <c r="B29" s="170"/>
      <c r="C29" s="171"/>
      <c r="D29" s="172">
        <f>+Table_2[[#This Row],[TOTAL DES COMMANDES ]]-Table_2[[#This Row],[PAYER ]]</f>
        <v>0</v>
      </c>
    </row>
    <row r="30" spans="1:4" ht="18" x14ac:dyDescent="0.25">
      <c r="A30" s="194"/>
      <c r="B30" s="170"/>
      <c r="C30" s="171"/>
      <c r="D30" s="172">
        <f>+Table_2[[#This Row],[TOTAL DES COMMANDES ]]-Table_2[[#This Row],[PAYER ]]</f>
        <v>0</v>
      </c>
    </row>
    <row r="31" spans="1:4" ht="18" x14ac:dyDescent="0.25">
      <c r="A31" s="194"/>
      <c r="B31" s="172"/>
      <c r="C31" s="171"/>
      <c r="D31" s="172">
        <f>+Table_2[[#This Row],[TOTAL DES COMMANDES ]]-Table_2[[#This Row],[PAYER ]]</f>
        <v>0</v>
      </c>
    </row>
    <row r="32" spans="1:4" ht="18" x14ac:dyDescent="0.25">
      <c r="A32" s="194"/>
      <c r="B32" s="172"/>
      <c r="C32" s="173"/>
      <c r="D32" s="172">
        <f>+Table_2[[#This Row],[TOTAL DES COMMANDES ]]-Table_2[[#This Row],[PAYER ]]</f>
        <v>0</v>
      </c>
    </row>
    <row r="33" spans="1:4" ht="18" x14ac:dyDescent="0.25">
      <c r="A33" s="214"/>
      <c r="B33" s="172"/>
      <c r="C33" s="173"/>
      <c r="D33" s="172">
        <f>+Table_2[[#This Row],[TOTAL DES COMMANDES ]]-Table_2[[#This Row],[PAYER ]]</f>
        <v>0</v>
      </c>
    </row>
    <row r="34" spans="1:4" ht="18" x14ac:dyDescent="0.25">
      <c r="A34" s="214"/>
      <c r="B34" s="172"/>
      <c r="C34" s="173"/>
      <c r="D34" s="172">
        <f>+Table_2[[#This Row],[TOTAL DES COMMANDES ]]-Table_2[[#This Row],[PAYER ]]</f>
        <v>0</v>
      </c>
    </row>
    <row r="35" spans="1:4" ht="18" x14ac:dyDescent="0.25">
      <c r="A35" s="195"/>
      <c r="B35" s="175"/>
      <c r="C35" s="172"/>
      <c r="D35" s="172">
        <f>+Table_2[[#This Row],[TOTAL DES COMMANDES ]]-Table_2[[#This Row],[PAYER ]]</f>
        <v>0</v>
      </c>
    </row>
    <row r="36" spans="1:4" ht="18" x14ac:dyDescent="0.25">
      <c r="A36" s="186"/>
      <c r="B36" s="170"/>
      <c r="C36" s="171"/>
      <c r="D36" s="198">
        <f>+Table_2[[#This Row],[TOTAL DES COMMANDES ]]-Table_2[[#This Row],[PAYER ]]</f>
        <v>0</v>
      </c>
    </row>
    <row r="37" spans="1:4" ht="18" x14ac:dyDescent="0.25">
      <c r="A37" s="189"/>
      <c r="B37" s="174"/>
      <c r="C37" s="170"/>
      <c r="D37" s="198">
        <f>+Table_2[[#This Row],[TOTAL DES COMMANDES ]]-Table_2[[#This Row],[PAYER ]]</f>
        <v>0</v>
      </c>
    </row>
    <row r="38" spans="1:4" ht="18" x14ac:dyDescent="0.25">
      <c r="A38" s="190"/>
      <c r="B38" s="197"/>
      <c r="C38" s="197"/>
      <c r="D38" s="191">
        <f>+Table_2[[#This Row],[TOTAL DES COMMANDES ]]-Table_2[[#This Row],[PAYER ]]</f>
        <v>0</v>
      </c>
    </row>
    <row r="39" spans="1:4" ht="15.75" thickBot="1" x14ac:dyDescent="0.3">
      <c r="A39" s="352" t="s">
        <v>30</v>
      </c>
      <c r="B39" s="335"/>
      <c r="C39" s="335"/>
      <c r="D39" s="335"/>
    </row>
    <row r="40" spans="1:4" x14ac:dyDescent="0.25">
      <c r="A40" s="388" t="s">
        <v>25</v>
      </c>
      <c r="B40" s="390">
        <f>SUM(B2:B38)</f>
        <v>0</v>
      </c>
      <c r="C40" s="392">
        <f>SUM(C2:C38)</f>
        <v>0</v>
      </c>
      <c r="D40" s="393">
        <f>SUM(D2:D38)</f>
        <v>0</v>
      </c>
    </row>
    <row r="41" spans="1:4" ht="15.75" thickBot="1" x14ac:dyDescent="0.3">
      <c r="A41" s="389"/>
      <c r="B41" s="391"/>
      <c r="C41" s="391"/>
      <c r="D41" s="317"/>
    </row>
    <row r="42" spans="1:4" ht="15.75" thickBot="1" x14ac:dyDescent="0.3">
      <c r="A42" s="37"/>
      <c r="B42" s="38"/>
      <c r="C42" s="9"/>
      <c r="D42" s="16"/>
    </row>
    <row r="43" spans="1:4" ht="21.75" thickBot="1" x14ac:dyDescent="0.3">
      <c r="A43" s="39" t="s">
        <v>31</v>
      </c>
      <c r="B43" s="40">
        <v>0</v>
      </c>
      <c r="C43" s="41"/>
      <c r="D43" s="42"/>
    </row>
    <row r="44" spans="1:4" ht="21.75" thickBot="1" x14ac:dyDescent="0.3">
      <c r="A44" s="43" t="s">
        <v>32</v>
      </c>
      <c r="B44" s="44">
        <f>'CAISSE-COFFRE'!E37</f>
        <v>0</v>
      </c>
      <c r="C44" s="45"/>
      <c r="D44" s="42"/>
    </row>
    <row r="45" spans="1:4" ht="15.75" thickBot="1" x14ac:dyDescent="0.3">
      <c r="A45" s="46" t="s">
        <v>24</v>
      </c>
      <c r="B45" s="47"/>
      <c r="C45" s="9"/>
      <c r="D45" s="2"/>
    </row>
    <row r="46" spans="1:4" ht="21" x14ac:dyDescent="0.25">
      <c r="A46" s="394" t="s">
        <v>33</v>
      </c>
      <c r="B46" s="386">
        <f>B40+B44+B43</f>
        <v>0</v>
      </c>
      <c r="C46" s="48"/>
      <c r="D46" s="49"/>
    </row>
    <row r="47" spans="1:4" ht="21.75" thickBot="1" x14ac:dyDescent="0.3">
      <c r="A47" s="313"/>
      <c r="B47" s="387"/>
      <c r="C47" s="50"/>
      <c r="D47" s="51"/>
    </row>
    <row r="48" spans="1:4" ht="15.75" thickBot="1" x14ac:dyDescent="0.3">
      <c r="A48" s="378"/>
      <c r="B48" s="335"/>
      <c r="C48" s="335"/>
      <c r="D48" s="335"/>
    </row>
    <row r="49" spans="1:4" ht="21" x14ac:dyDescent="0.3">
      <c r="A49" s="298" t="s">
        <v>34</v>
      </c>
      <c r="B49" s="299">
        <f>'CAISSE-COFFRE'!K9</f>
        <v>0</v>
      </c>
      <c r="C49" s="52"/>
      <c r="D49" s="52"/>
    </row>
    <row r="50" spans="1:4" ht="21" x14ac:dyDescent="0.3">
      <c r="A50" s="300" t="s">
        <v>116</v>
      </c>
      <c r="B50" s="301">
        <f>'CAISSE-COFFRE'!C37+'CAISSE-COFFRE'!G37</f>
        <v>0</v>
      </c>
      <c r="C50" s="52"/>
      <c r="D50" s="52"/>
    </row>
    <row r="51" spans="1:4" ht="21" x14ac:dyDescent="0.25">
      <c r="A51" s="300" t="s">
        <v>35</v>
      </c>
      <c r="B51" s="301">
        <f>'SOUS-TRAITANTS &amp; CONVENTIONS'!B21</f>
        <v>0</v>
      </c>
      <c r="C51" s="2"/>
      <c r="D51" s="2"/>
    </row>
    <row r="52" spans="1:4" ht="21.75" thickBot="1" x14ac:dyDescent="0.3">
      <c r="A52" s="302" t="s">
        <v>78</v>
      </c>
      <c r="B52" s="303">
        <f>'CAISSE-COFFRE'!L38</f>
        <v>0</v>
      </c>
      <c r="C52" s="2"/>
      <c r="D52" s="2"/>
    </row>
    <row r="53" spans="1:4" ht="21.75" thickBot="1" x14ac:dyDescent="0.3">
      <c r="A53" s="304" t="s">
        <v>36</v>
      </c>
      <c r="B53" s="305">
        <f>B49+B50+B51+B52</f>
        <v>0</v>
      </c>
    </row>
    <row r="54" spans="1:4" x14ac:dyDescent="0.25">
      <c r="A54" s="378"/>
      <c r="B54" s="335"/>
    </row>
    <row r="55" spans="1:4" ht="26.25" x14ac:dyDescent="0.25">
      <c r="A55" s="131" t="s">
        <v>37</v>
      </c>
      <c r="B55" s="132">
        <f>B53-B46</f>
        <v>0</v>
      </c>
    </row>
    <row r="56" spans="1:4" ht="26.25" x14ac:dyDescent="0.25">
      <c r="A56" s="131" t="s">
        <v>80</v>
      </c>
      <c r="B56" s="145" t="e">
        <f>B55/B53</f>
        <v>#DIV/0!</v>
      </c>
    </row>
    <row r="57" spans="1:4" x14ac:dyDescent="0.25">
      <c r="A57" s="53"/>
      <c r="B57" s="54"/>
    </row>
    <row r="58" spans="1:4" x14ac:dyDescent="0.25"/>
    <row r="59" spans="1:4" x14ac:dyDescent="0.25"/>
    <row r="60" spans="1:4" x14ac:dyDescent="0.25"/>
    <row r="61" spans="1:4" x14ac:dyDescent="0.25"/>
    <row r="62" spans="1:4" x14ac:dyDescent="0.25"/>
    <row r="63" spans="1:4" x14ac:dyDescent="0.25"/>
  </sheetData>
  <mergeCells count="9">
    <mergeCell ref="B46:B47"/>
    <mergeCell ref="A54:B54"/>
    <mergeCell ref="A39:D39"/>
    <mergeCell ref="A40:A41"/>
    <mergeCell ref="B40:B41"/>
    <mergeCell ref="C40:C41"/>
    <mergeCell ref="D40:D41"/>
    <mergeCell ref="A46:A47"/>
    <mergeCell ref="A48:D48"/>
  </mergeCells>
  <pageMargins left="0.7" right="0.7" top="0.75" bottom="0.75" header="0" footer="0"/>
  <pageSetup paperSize="9" scale="53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workbookViewId="0">
      <selection activeCell="A25" sqref="A25:I27"/>
    </sheetView>
  </sheetViews>
  <sheetFormatPr baseColWidth="10" defaultColWidth="14.42578125" defaultRowHeight="15" customHeight="1" x14ac:dyDescent="0.25"/>
  <cols>
    <col min="1" max="1" width="56.85546875" bestFit="1" customWidth="1"/>
    <col min="2" max="2" width="27" bestFit="1" customWidth="1"/>
    <col min="3" max="3" width="24" bestFit="1" customWidth="1"/>
    <col min="4" max="4" width="26.5703125" customWidth="1"/>
    <col min="5" max="5" width="23.140625" customWidth="1"/>
    <col min="6" max="6" width="26.5703125" bestFit="1" customWidth="1"/>
    <col min="7" max="7" width="35" customWidth="1"/>
    <col min="8" max="8" width="33.5703125" customWidth="1"/>
    <col min="9" max="9" width="45.7109375" customWidth="1"/>
  </cols>
  <sheetData>
    <row r="1" spans="1:9" ht="21" x14ac:dyDescent="0.25">
      <c r="A1" s="55" t="s">
        <v>38</v>
      </c>
      <c r="B1" s="56" t="s">
        <v>39</v>
      </c>
      <c r="C1" s="56" t="s">
        <v>40</v>
      </c>
      <c r="D1" s="57" t="s">
        <v>41</v>
      </c>
      <c r="E1" s="57" t="s">
        <v>42</v>
      </c>
      <c r="F1" s="58" t="s">
        <v>43</v>
      </c>
      <c r="G1" s="58" t="s">
        <v>44</v>
      </c>
      <c r="H1" s="58" t="s">
        <v>45</v>
      </c>
      <c r="I1" s="59" t="s">
        <v>46</v>
      </c>
    </row>
    <row r="2" spans="1:9" ht="18.75" x14ac:dyDescent="0.25">
      <c r="A2" s="18"/>
      <c r="B2" s="19"/>
      <c r="C2" s="36"/>
      <c r="D2" s="60"/>
      <c r="E2" s="35"/>
      <c r="F2" s="61"/>
      <c r="G2" s="61"/>
      <c r="H2" s="61"/>
      <c r="I2" s="156"/>
    </row>
    <row r="3" spans="1:9" ht="18.75" x14ac:dyDescent="0.25">
      <c r="A3" s="18"/>
      <c r="B3" s="19"/>
      <c r="C3" s="36"/>
      <c r="D3" s="60"/>
      <c r="E3" s="35"/>
      <c r="F3" s="61"/>
      <c r="G3" s="61"/>
      <c r="H3" s="61"/>
      <c r="I3" s="62"/>
    </row>
    <row r="4" spans="1:9" ht="18.75" x14ac:dyDescent="0.25">
      <c r="A4" s="18"/>
      <c r="B4" s="19"/>
      <c r="C4" s="36"/>
      <c r="D4" s="60"/>
      <c r="E4" s="35"/>
      <c r="F4" s="61"/>
      <c r="G4" s="61"/>
      <c r="H4" s="61"/>
      <c r="I4" s="156"/>
    </row>
    <row r="5" spans="1:9" ht="18.75" x14ac:dyDescent="0.25">
      <c r="A5" s="18"/>
      <c r="B5" s="19"/>
      <c r="C5" s="36"/>
      <c r="D5" s="60"/>
      <c r="E5" s="35"/>
      <c r="F5" s="61"/>
      <c r="G5" s="61"/>
      <c r="H5" s="61"/>
      <c r="I5" s="156"/>
    </row>
    <row r="6" spans="1:9" ht="18.75" x14ac:dyDescent="0.25">
      <c r="A6" s="18"/>
      <c r="B6" s="19"/>
      <c r="C6" s="36"/>
      <c r="D6" s="60"/>
      <c r="E6" s="35"/>
      <c r="F6" s="61"/>
      <c r="G6" s="61"/>
      <c r="H6" s="61"/>
      <c r="I6" s="156"/>
    </row>
    <row r="7" spans="1:9" ht="18.75" x14ac:dyDescent="0.25">
      <c r="A7" s="18"/>
      <c r="B7" s="19"/>
      <c r="C7" s="36"/>
      <c r="D7" s="60"/>
      <c r="E7" s="35"/>
      <c r="F7" s="61"/>
      <c r="G7" s="61"/>
      <c r="H7" s="61"/>
      <c r="I7" s="62"/>
    </row>
    <row r="8" spans="1:9" ht="18.75" x14ac:dyDescent="0.25">
      <c r="A8" s="18"/>
      <c r="B8" s="19"/>
      <c r="C8" s="36"/>
      <c r="D8" s="60"/>
      <c r="E8" s="35"/>
      <c r="F8" s="61"/>
      <c r="G8" s="61"/>
      <c r="H8" s="61"/>
      <c r="I8" s="62"/>
    </row>
    <row r="9" spans="1:9" ht="18.75" x14ac:dyDescent="0.25">
      <c r="A9" s="18"/>
      <c r="B9" s="19"/>
      <c r="C9" s="36"/>
      <c r="D9" s="60"/>
      <c r="E9" s="35"/>
      <c r="F9" s="61"/>
      <c r="G9" s="61"/>
      <c r="H9" s="61"/>
      <c r="I9" s="156"/>
    </row>
    <row r="10" spans="1:9" ht="18.75" x14ac:dyDescent="0.25">
      <c r="A10" s="18"/>
      <c r="B10" s="19"/>
      <c r="C10" s="36"/>
      <c r="D10" s="60"/>
      <c r="E10" s="35"/>
      <c r="F10" s="61"/>
      <c r="G10" s="61"/>
      <c r="H10" s="61"/>
      <c r="I10" s="156"/>
    </row>
    <row r="11" spans="1:9" ht="18.75" x14ac:dyDescent="0.25">
      <c r="A11" s="18"/>
      <c r="B11" s="19"/>
      <c r="C11" s="36"/>
      <c r="D11" s="60"/>
      <c r="E11" s="35"/>
      <c r="F11" s="61"/>
      <c r="G11" s="61"/>
      <c r="H11" s="61"/>
      <c r="I11" s="156"/>
    </row>
    <row r="12" spans="1:9" ht="18.75" x14ac:dyDescent="0.25">
      <c r="A12" s="63"/>
      <c r="B12" s="19"/>
      <c r="C12" s="36"/>
      <c r="D12" s="60"/>
      <c r="E12" s="35"/>
      <c r="F12" s="61"/>
      <c r="G12" s="61"/>
      <c r="H12" s="61"/>
      <c r="I12" s="156"/>
    </row>
    <row r="13" spans="1:9" ht="18.75" x14ac:dyDescent="0.25">
      <c r="A13" s="63"/>
      <c r="B13" s="19"/>
      <c r="C13" s="36"/>
      <c r="D13" s="60"/>
      <c r="E13" s="35"/>
      <c r="F13" s="61"/>
      <c r="G13" s="61"/>
      <c r="H13" s="61"/>
      <c r="I13" s="205"/>
    </row>
    <row r="14" spans="1:9" ht="18.75" x14ac:dyDescent="0.25">
      <c r="A14" s="63"/>
      <c r="B14" s="19"/>
      <c r="C14" s="36"/>
      <c r="D14" s="60"/>
      <c r="E14" s="35"/>
      <c r="F14" s="61"/>
      <c r="G14" s="61"/>
      <c r="H14" s="61"/>
      <c r="I14" s="62"/>
    </row>
    <row r="15" spans="1:9" ht="18.75" x14ac:dyDescent="0.25">
      <c r="A15" s="63"/>
      <c r="B15" s="19"/>
      <c r="C15" s="36"/>
      <c r="D15" s="60"/>
      <c r="E15" s="35"/>
      <c r="F15" s="61"/>
      <c r="G15" s="61"/>
      <c r="H15" s="61"/>
      <c r="I15" s="62"/>
    </row>
    <row r="16" spans="1:9" ht="15" customHeight="1" x14ac:dyDescent="0.25">
      <c r="A16" s="63"/>
      <c r="B16" s="19"/>
      <c r="C16" s="36"/>
      <c r="D16" s="60"/>
      <c r="E16" s="35"/>
      <c r="F16" s="61"/>
      <c r="G16" s="61"/>
      <c r="H16" s="61"/>
      <c r="I16" s="156"/>
    </row>
    <row r="17" spans="1:9" ht="18.75" x14ac:dyDescent="0.25">
      <c r="A17" s="63"/>
      <c r="B17" s="19"/>
      <c r="C17" s="36"/>
      <c r="D17" s="60"/>
      <c r="E17" s="35"/>
      <c r="F17" s="61"/>
      <c r="G17" s="61"/>
      <c r="H17" s="61"/>
      <c r="I17" s="62"/>
    </row>
    <row r="18" spans="1:9" ht="15" customHeight="1" x14ac:dyDescent="0.25">
      <c r="A18" s="291"/>
      <c r="B18" s="292"/>
      <c r="C18" s="293"/>
      <c r="D18" s="294"/>
      <c r="E18" s="35"/>
      <c r="F18" s="61"/>
      <c r="G18" s="295"/>
      <c r="H18" s="61"/>
      <c r="I18" s="296"/>
    </row>
    <row r="19" spans="1:9" ht="15" customHeight="1" thickBot="1" x14ac:dyDescent="0.3">
      <c r="A19" s="64"/>
      <c r="B19" s="23"/>
      <c r="C19" s="65"/>
      <c r="D19" s="66"/>
      <c r="E19" s="35"/>
      <c r="F19" s="67"/>
      <c r="G19" s="67"/>
      <c r="H19" s="67"/>
      <c r="I19" s="309"/>
    </row>
    <row r="20" spans="1:9" ht="15.75" thickBot="1" x14ac:dyDescent="0.3">
      <c r="A20" s="395"/>
      <c r="B20" s="335"/>
      <c r="C20" s="335"/>
      <c r="D20" s="335"/>
      <c r="E20" s="335"/>
      <c r="F20" s="335"/>
      <c r="G20" s="335"/>
      <c r="H20" s="335"/>
      <c r="I20" s="396"/>
    </row>
    <row r="21" spans="1:9" ht="27" thickBot="1" x14ac:dyDescent="0.45">
      <c r="A21" s="68" t="s">
        <v>9</v>
      </c>
      <c r="B21" s="69">
        <f>SUM(B2:B19)</f>
        <v>0</v>
      </c>
      <c r="C21" s="69">
        <f>SUM(C2:C19)</f>
        <v>0</v>
      </c>
      <c r="D21" s="70"/>
      <c r="E21" s="70"/>
      <c r="F21" s="71">
        <f>SUM(F2:F19)</f>
        <v>0</v>
      </c>
      <c r="G21" s="71">
        <f>SUM(G2:G19)</f>
        <v>0</v>
      </c>
      <c r="H21" s="71">
        <f>SUM(H2:H19)</f>
        <v>0</v>
      </c>
      <c r="I21" s="72"/>
    </row>
    <row r="23" spans="1:9" ht="15" customHeight="1" thickBot="1" x14ac:dyDescent="0.3"/>
    <row r="24" spans="1:9" ht="21" x14ac:dyDescent="0.25">
      <c r="A24" s="273" t="s">
        <v>111</v>
      </c>
      <c r="B24" s="274" t="s">
        <v>39</v>
      </c>
      <c r="C24" s="274" t="s">
        <v>40</v>
      </c>
      <c r="D24" s="275" t="s">
        <v>41</v>
      </c>
      <c r="E24" s="275" t="s">
        <v>42</v>
      </c>
      <c r="F24" s="276" t="s">
        <v>43</v>
      </c>
      <c r="G24" s="276" t="s">
        <v>44</v>
      </c>
      <c r="H24" s="276" t="s">
        <v>45</v>
      </c>
      <c r="I24" s="277" t="s">
        <v>46</v>
      </c>
    </row>
    <row r="25" spans="1:9" ht="15" customHeight="1" x14ac:dyDescent="0.25">
      <c r="A25" s="18"/>
      <c r="B25" s="19"/>
      <c r="C25" s="36"/>
      <c r="D25" s="60"/>
      <c r="E25" s="35"/>
      <c r="F25" s="61"/>
      <c r="G25" s="61"/>
      <c r="H25" s="61"/>
      <c r="I25" s="156"/>
    </row>
    <row r="26" spans="1:9" ht="15" customHeight="1" x14ac:dyDescent="0.25">
      <c r="A26" s="278"/>
      <c r="B26" s="279"/>
      <c r="C26" s="280"/>
      <c r="D26" s="281"/>
      <c r="E26" s="282"/>
      <c r="F26" s="283"/>
      <c r="G26" s="283"/>
      <c r="H26" s="283"/>
      <c r="I26" s="284"/>
    </row>
    <row r="27" spans="1:9" ht="15" customHeight="1" x14ac:dyDescent="0.25">
      <c r="A27" s="18"/>
      <c r="B27" s="19"/>
      <c r="C27" s="36"/>
      <c r="D27" s="60"/>
      <c r="E27" s="35"/>
      <c r="F27" s="61"/>
      <c r="G27" s="61"/>
      <c r="H27" s="61"/>
      <c r="I27" s="156"/>
    </row>
    <row r="28" spans="1:9" ht="15" customHeight="1" thickBot="1" x14ac:dyDescent="0.3">
      <c r="A28" s="395"/>
      <c r="B28" s="335"/>
      <c r="C28" s="335"/>
      <c r="D28" s="335"/>
      <c r="E28" s="335"/>
      <c r="F28" s="335"/>
      <c r="G28" s="335"/>
      <c r="H28" s="335"/>
      <c r="I28" s="396"/>
    </row>
    <row r="29" spans="1:9" ht="27" thickBot="1" x14ac:dyDescent="0.45">
      <c r="A29" s="285" t="s">
        <v>9</v>
      </c>
      <c r="B29" s="286">
        <f>SUM(B25:B27)</f>
        <v>0</v>
      </c>
      <c r="C29" s="286">
        <f>SUM(C25:C27)</f>
        <v>0</v>
      </c>
      <c r="D29" s="70"/>
      <c r="E29" s="70"/>
      <c r="F29" s="287">
        <f>SUM(F25:F27)</f>
        <v>0</v>
      </c>
      <c r="G29" s="287">
        <f>SUM(G25:G27)</f>
        <v>0</v>
      </c>
      <c r="H29" s="287">
        <f>SUM(H25:H27)</f>
        <v>0</v>
      </c>
      <c r="I29" s="72"/>
    </row>
    <row r="36" x14ac:dyDescent="0.25"/>
  </sheetData>
  <mergeCells count="2">
    <mergeCell ref="A20:I20"/>
    <mergeCell ref="A28:I28"/>
  </mergeCells>
  <pageMargins left="0.7" right="0.7" top="0.75" bottom="0.75" header="0" footer="0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"/>
  <sheetViews>
    <sheetView zoomScale="70" zoomScaleNormal="70" workbookViewId="0">
      <selection activeCell="AI10" sqref="AI10:AI57"/>
    </sheetView>
  </sheetViews>
  <sheetFormatPr baseColWidth="10" defaultColWidth="14.42578125" defaultRowHeight="15" customHeight="1" x14ac:dyDescent="0.25"/>
  <cols>
    <col min="1" max="1" width="4.5703125" bestFit="1" customWidth="1"/>
    <col min="2" max="2" width="36.7109375" bestFit="1" customWidth="1"/>
    <col min="3" max="3" width="9" customWidth="1"/>
    <col min="4" max="4" width="19.5703125" bestFit="1" customWidth="1"/>
    <col min="5" max="5" width="15.140625" customWidth="1"/>
    <col min="6" max="6" width="10.85546875" customWidth="1"/>
    <col min="7" max="7" width="9.85546875" customWidth="1"/>
    <col min="8" max="8" width="14.5703125" customWidth="1"/>
    <col min="9" max="9" width="10.28515625" customWidth="1"/>
    <col min="10" max="10" width="11" bestFit="1" customWidth="1"/>
    <col min="11" max="11" width="10.7109375" customWidth="1"/>
    <col min="12" max="12" width="10.7109375" bestFit="1" customWidth="1"/>
    <col min="13" max="13" width="9.7109375" customWidth="1"/>
    <col min="14" max="14" width="9.85546875" customWidth="1"/>
    <col min="15" max="15" width="12" bestFit="1" customWidth="1"/>
    <col min="16" max="16" width="11.7109375" customWidth="1"/>
    <col min="17" max="17" width="10" bestFit="1" customWidth="1"/>
    <col min="18" max="18" width="10.7109375" customWidth="1"/>
    <col min="19" max="19" width="10.7109375" bestFit="1" customWidth="1"/>
    <col min="20" max="20" width="9.7109375" customWidth="1"/>
    <col min="21" max="21" width="9.5703125" customWidth="1"/>
    <col min="22" max="22" width="10.140625" customWidth="1"/>
    <col min="23" max="23" width="11" customWidth="1"/>
    <col min="24" max="24" width="10" bestFit="1" customWidth="1"/>
    <col min="25" max="25" width="10.7109375" customWidth="1"/>
    <col min="26" max="26" width="10.140625" customWidth="1"/>
    <col min="27" max="27" width="9.7109375" bestFit="1" customWidth="1"/>
    <col min="28" max="28" width="9.85546875" customWidth="1"/>
    <col min="29" max="29" width="10.5703125" bestFit="1" customWidth="1"/>
    <col min="30" max="34" width="11" customWidth="1"/>
    <col min="35" max="35" width="66" customWidth="1"/>
  </cols>
  <sheetData>
    <row r="1" spans="1:35" ht="21" x14ac:dyDescent="0.35">
      <c r="A1" s="418"/>
      <c r="B1" s="419"/>
      <c r="C1" s="424" t="s">
        <v>79</v>
      </c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6"/>
      <c r="Y1" s="73"/>
      <c r="Z1" s="74"/>
      <c r="AA1" s="74"/>
      <c r="AB1" s="74"/>
      <c r="AC1" s="74"/>
      <c r="AD1" s="74"/>
      <c r="AE1" s="74"/>
      <c r="AF1" s="74"/>
      <c r="AG1" s="74"/>
      <c r="AH1" s="74"/>
      <c r="AI1" s="75"/>
    </row>
    <row r="2" spans="1:35" x14ac:dyDescent="0.25">
      <c r="A2" s="420"/>
      <c r="B2" s="421"/>
      <c r="C2" s="76" t="s">
        <v>47</v>
      </c>
      <c r="D2" s="427" t="s">
        <v>48</v>
      </c>
      <c r="E2" s="425"/>
      <c r="F2" s="426"/>
      <c r="G2" s="428"/>
      <c r="H2" s="335"/>
      <c r="I2" s="77" t="s">
        <v>49</v>
      </c>
      <c r="J2" s="427" t="s">
        <v>50</v>
      </c>
      <c r="K2" s="425"/>
      <c r="L2" s="426"/>
      <c r="M2" s="428"/>
      <c r="N2" s="335"/>
      <c r="O2" s="78" t="s">
        <v>51</v>
      </c>
      <c r="P2" s="427" t="s">
        <v>52</v>
      </c>
      <c r="Q2" s="425"/>
      <c r="R2" s="426"/>
      <c r="S2" s="432"/>
      <c r="T2" s="335"/>
      <c r="U2" s="80"/>
      <c r="V2" s="430" t="s">
        <v>53</v>
      </c>
      <c r="W2" s="431"/>
      <c r="X2" s="419"/>
      <c r="Y2" s="81"/>
      <c r="Z2" s="82"/>
      <c r="AA2" s="82"/>
      <c r="AB2" s="82"/>
      <c r="AC2" s="82"/>
      <c r="AD2" s="82"/>
      <c r="AE2" s="82"/>
      <c r="AF2" s="82"/>
      <c r="AG2" s="82"/>
      <c r="AH2" s="82"/>
      <c r="AI2" s="83"/>
    </row>
    <row r="3" spans="1:35" x14ac:dyDescent="0.25">
      <c r="A3" s="420"/>
      <c r="B3" s="421"/>
      <c r="C3" s="84" t="s">
        <v>54</v>
      </c>
      <c r="D3" s="427" t="s">
        <v>55</v>
      </c>
      <c r="E3" s="425"/>
      <c r="F3" s="426"/>
      <c r="G3" s="335"/>
      <c r="H3" s="335"/>
      <c r="I3" s="85" t="s">
        <v>56</v>
      </c>
      <c r="J3" s="427" t="s">
        <v>57</v>
      </c>
      <c r="K3" s="425"/>
      <c r="L3" s="426"/>
      <c r="M3" s="335"/>
      <c r="N3" s="335"/>
      <c r="O3" s="86" t="s">
        <v>58</v>
      </c>
      <c r="P3" s="427" t="s">
        <v>59</v>
      </c>
      <c r="Q3" s="425"/>
      <c r="R3" s="426"/>
      <c r="S3" s="335"/>
      <c r="T3" s="335"/>
      <c r="U3" s="433"/>
      <c r="V3" s="431"/>
      <c r="W3" s="431"/>
      <c r="X3" s="434"/>
      <c r="Y3" s="81"/>
      <c r="Z3" s="82"/>
      <c r="AA3" s="82"/>
      <c r="AB3" s="82"/>
      <c r="AC3" s="82"/>
      <c r="AD3" s="82"/>
      <c r="AE3" s="82"/>
      <c r="AF3" s="82"/>
      <c r="AG3" s="82"/>
      <c r="AH3" s="82"/>
      <c r="AI3" s="83"/>
    </row>
    <row r="4" spans="1:35" x14ac:dyDescent="0.25">
      <c r="A4" s="422"/>
      <c r="B4" s="423"/>
      <c r="C4" s="87" t="s">
        <v>60</v>
      </c>
      <c r="D4" s="427" t="s">
        <v>61</v>
      </c>
      <c r="E4" s="425"/>
      <c r="F4" s="426"/>
      <c r="G4" s="429"/>
      <c r="H4" s="429"/>
      <c r="I4" s="88" t="s">
        <v>62</v>
      </c>
      <c r="J4" s="427" t="s">
        <v>63</v>
      </c>
      <c r="K4" s="425"/>
      <c r="L4" s="426"/>
      <c r="M4" s="429"/>
      <c r="N4" s="429"/>
      <c r="O4" s="89" t="s">
        <v>64</v>
      </c>
      <c r="P4" s="427" t="s">
        <v>65</v>
      </c>
      <c r="Q4" s="425"/>
      <c r="R4" s="426"/>
      <c r="S4" s="429"/>
      <c r="T4" s="429"/>
      <c r="U4" s="435"/>
      <c r="V4" s="429"/>
      <c r="W4" s="429"/>
      <c r="X4" s="436"/>
      <c r="Y4" s="81"/>
      <c r="Z4" s="82"/>
      <c r="AA4" s="82"/>
      <c r="AB4" s="82"/>
      <c r="AC4" s="82"/>
      <c r="AD4" s="82"/>
      <c r="AE4" s="82"/>
      <c r="AF4" s="82"/>
      <c r="AG4" s="82"/>
      <c r="AH4" s="82"/>
      <c r="AI4" s="83"/>
    </row>
    <row r="5" spans="1:35" x14ac:dyDescent="0.25">
      <c r="A5" s="417"/>
      <c r="B5" s="417"/>
      <c r="C5" s="417"/>
      <c r="D5" s="261"/>
      <c r="E5" s="259"/>
      <c r="F5" s="259"/>
      <c r="G5" s="260"/>
      <c r="H5" s="415"/>
      <c r="I5" s="416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75"/>
    </row>
    <row r="6" spans="1:35" ht="15.75" thickBot="1" x14ac:dyDescent="0.3">
      <c r="A6" s="417"/>
      <c r="B6" s="417"/>
      <c r="C6" s="417"/>
      <c r="D6" s="261"/>
      <c r="E6" s="259"/>
      <c r="F6" s="259"/>
      <c r="G6" s="260"/>
      <c r="H6" s="415"/>
      <c r="I6" s="416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01"/>
    </row>
    <row r="7" spans="1:35" ht="19.5" thickBot="1" x14ac:dyDescent="0.35">
      <c r="A7" s="417"/>
      <c r="B7" s="417"/>
      <c r="C7" s="417"/>
      <c r="D7" s="269" t="s">
        <v>109</v>
      </c>
      <c r="E7" s="259"/>
      <c r="F7" s="259"/>
      <c r="G7" s="260"/>
      <c r="H7" s="415"/>
      <c r="I7" s="416"/>
      <c r="J7" s="259"/>
      <c r="K7" s="259"/>
      <c r="L7" s="259"/>
      <c r="M7" s="259"/>
      <c r="N7" s="259"/>
      <c r="O7" s="269" t="s">
        <v>110</v>
      </c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01"/>
    </row>
    <row r="8" spans="1:35" ht="15.75" x14ac:dyDescent="0.25">
      <c r="A8" s="409" t="s">
        <v>66</v>
      </c>
      <c r="B8" s="411" t="s">
        <v>67</v>
      </c>
      <c r="C8" s="413" t="s">
        <v>68</v>
      </c>
      <c r="D8" s="263">
        <v>46023</v>
      </c>
      <c r="E8" s="262">
        <v>46024</v>
      </c>
      <c r="F8" s="255">
        <v>46025</v>
      </c>
      <c r="G8" s="255">
        <v>46026</v>
      </c>
      <c r="H8" s="255">
        <v>46027</v>
      </c>
      <c r="I8" s="255">
        <v>46028</v>
      </c>
      <c r="J8" s="255">
        <v>46029</v>
      </c>
      <c r="K8" s="255">
        <v>46030</v>
      </c>
      <c r="L8" s="213">
        <v>46031</v>
      </c>
      <c r="M8" s="255">
        <v>46032</v>
      </c>
      <c r="N8" s="265">
        <v>46033</v>
      </c>
      <c r="O8" s="263">
        <v>46034</v>
      </c>
      <c r="P8" s="267">
        <v>46035</v>
      </c>
      <c r="Q8" s="255">
        <v>46036</v>
      </c>
      <c r="R8" s="255">
        <v>46037</v>
      </c>
      <c r="S8" s="213">
        <v>46038</v>
      </c>
      <c r="T8" s="255">
        <v>46039</v>
      </c>
      <c r="U8" s="255">
        <v>46040</v>
      </c>
      <c r="V8" s="255">
        <v>46041</v>
      </c>
      <c r="W8" s="255">
        <v>46042</v>
      </c>
      <c r="X8" s="255">
        <v>46043</v>
      </c>
      <c r="Y8" s="255">
        <v>46044</v>
      </c>
      <c r="Z8" s="213">
        <v>46045</v>
      </c>
      <c r="AA8" s="255">
        <v>46046</v>
      </c>
      <c r="AB8" s="255">
        <v>46047</v>
      </c>
      <c r="AC8" s="255">
        <v>46048</v>
      </c>
      <c r="AD8" s="255">
        <v>46049</v>
      </c>
      <c r="AE8" s="255">
        <v>46050</v>
      </c>
      <c r="AF8" s="255">
        <v>46051</v>
      </c>
      <c r="AG8" s="213">
        <v>46052</v>
      </c>
      <c r="AH8" s="255">
        <v>46053</v>
      </c>
      <c r="AI8" s="397" t="s">
        <v>8</v>
      </c>
    </row>
    <row r="9" spans="1:35" ht="19.5" customHeight="1" thickBot="1" x14ac:dyDescent="0.3">
      <c r="A9" s="410"/>
      <c r="B9" s="412"/>
      <c r="C9" s="414"/>
      <c r="D9" s="264" t="s">
        <v>88</v>
      </c>
      <c r="E9" s="254" t="s">
        <v>89</v>
      </c>
      <c r="F9" s="199" t="s">
        <v>90</v>
      </c>
      <c r="G9" s="166" t="s">
        <v>91</v>
      </c>
      <c r="H9" s="166" t="s">
        <v>85</v>
      </c>
      <c r="I9" s="199" t="s">
        <v>86</v>
      </c>
      <c r="J9" s="166" t="s">
        <v>87</v>
      </c>
      <c r="K9" s="166" t="s">
        <v>88</v>
      </c>
      <c r="L9" s="254" t="s">
        <v>89</v>
      </c>
      <c r="M9" s="199" t="s">
        <v>90</v>
      </c>
      <c r="N9" s="266" t="s">
        <v>91</v>
      </c>
      <c r="O9" s="264" t="s">
        <v>85</v>
      </c>
      <c r="P9" s="268" t="s">
        <v>86</v>
      </c>
      <c r="Q9" s="166" t="s">
        <v>87</v>
      </c>
      <c r="R9" s="166" t="s">
        <v>88</v>
      </c>
      <c r="S9" s="254" t="s">
        <v>89</v>
      </c>
      <c r="T9" s="199" t="s">
        <v>90</v>
      </c>
      <c r="U9" s="166" t="s">
        <v>91</v>
      </c>
      <c r="V9" s="166" t="s">
        <v>85</v>
      </c>
      <c r="W9" s="199" t="s">
        <v>86</v>
      </c>
      <c r="X9" s="166" t="s">
        <v>87</v>
      </c>
      <c r="Y9" s="166" t="s">
        <v>88</v>
      </c>
      <c r="Z9" s="254" t="s">
        <v>89</v>
      </c>
      <c r="AA9" s="199" t="s">
        <v>90</v>
      </c>
      <c r="AB9" s="166" t="s">
        <v>91</v>
      </c>
      <c r="AC9" s="166" t="s">
        <v>85</v>
      </c>
      <c r="AD9" s="199" t="s">
        <v>86</v>
      </c>
      <c r="AE9" s="166" t="s">
        <v>87</v>
      </c>
      <c r="AF9" s="166" t="s">
        <v>88</v>
      </c>
      <c r="AG9" s="254" t="s">
        <v>89</v>
      </c>
      <c r="AH9" s="199" t="s">
        <v>90</v>
      </c>
      <c r="AI9" s="398"/>
    </row>
    <row r="10" spans="1:35" ht="18.75" x14ac:dyDescent="0.25">
      <c r="A10" s="399"/>
      <c r="B10" s="400"/>
      <c r="C10" s="100" t="s">
        <v>68</v>
      </c>
      <c r="D10" s="484"/>
      <c r="E10" s="485"/>
      <c r="F10" s="484"/>
      <c r="G10" s="484"/>
      <c r="H10" s="484"/>
      <c r="I10" s="484"/>
      <c r="J10" s="484"/>
      <c r="K10" s="484"/>
      <c r="L10" s="485"/>
      <c r="M10" s="484"/>
      <c r="N10" s="484"/>
      <c r="O10" s="484"/>
      <c r="P10" s="484"/>
      <c r="Q10" s="484"/>
      <c r="R10" s="484"/>
      <c r="S10" s="485"/>
      <c r="T10" s="484"/>
      <c r="U10" s="484"/>
      <c r="V10" s="484"/>
      <c r="W10" s="484"/>
      <c r="X10" s="484"/>
      <c r="Y10" s="484"/>
      <c r="Z10" s="485"/>
      <c r="AA10" s="484"/>
      <c r="AB10" s="484"/>
      <c r="AC10" s="484"/>
      <c r="AD10" s="484"/>
      <c r="AE10" s="484"/>
      <c r="AF10" s="484"/>
      <c r="AG10" s="485"/>
      <c r="AH10" s="484"/>
      <c r="AI10" s="518"/>
    </row>
    <row r="11" spans="1:35" ht="21.75" thickBot="1" x14ac:dyDescent="0.3">
      <c r="A11" s="403"/>
      <c r="B11" s="404"/>
      <c r="C11" s="101" t="s">
        <v>69</v>
      </c>
      <c r="D11" s="486"/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7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519"/>
    </row>
    <row r="12" spans="1:35" ht="18.75" x14ac:dyDescent="0.25">
      <c r="A12" s="405"/>
      <c r="B12" s="407"/>
      <c r="C12" s="104" t="s">
        <v>68</v>
      </c>
      <c r="D12" s="488"/>
      <c r="E12" s="488"/>
      <c r="F12" s="488"/>
      <c r="G12" s="488"/>
      <c r="H12" s="488"/>
      <c r="I12" s="488"/>
      <c r="J12" s="488"/>
      <c r="K12" s="488"/>
      <c r="L12" s="488"/>
      <c r="M12" s="488"/>
      <c r="N12" s="488"/>
      <c r="O12" s="488"/>
      <c r="P12" s="488"/>
      <c r="Q12" s="488"/>
      <c r="R12" s="488"/>
      <c r="S12" s="488"/>
      <c r="T12" s="488"/>
      <c r="U12" s="488"/>
      <c r="V12" s="488"/>
      <c r="W12" s="488"/>
      <c r="X12" s="488"/>
      <c r="Y12" s="488"/>
      <c r="Z12" s="488"/>
      <c r="AA12" s="488"/>
      <c r="AB12" s="488"/>
      <c r="AC12" s="488"/>
      <c r="AD12" s="488"/>
      <c r="AE12" s="488"/>
      <c r="AF12" s="488"/>
      <c r="AG12" s="488"/>
      <c r="AH12" s="488"/>
      <c r="AI12" s="520"/>
    </row>
    <row r="13" spans="1:35" ht="21.75" thickBot="1" x14ac:dyDescent="0.3">
      <c r="A13" s="406"/>
      <c r="B13" s="408"/>
      <c r="C13" s="105" t="s">
        <v>69</v>
      </c>
      <c r="D13" s="489"/>
      <c r="E13" s="489"/>
      <c r="F13" s="489"/>
      <c r="G13" s="489"/>
      <c r="H13" s="489"/>
      <c r="I13" s="489"/>
      <c r="J13" s="489"/>
      <c r="K13" s="489"/>
      <c r="L13" s="489"/>
      <c r="M13" s="490"/>
      <c r="N13" s="491"/>
      <c r="O13" s="491"/>
      <c r="P13" s="492"/>
      <c r="Q13" s="492"/>
      <c r="R13" s="492"/>
      <c r="S13" s="492"/>
      <c r="T13" s="492"/>
      <c r="U13" s="492"/>
      <c r="V13" s="492"/>
      <c r="W13" s="492"/>
      <c r="X13" s="492"/>
      <c r="Y13" s="492"/>
      <c r="Z13" s="492"/>
      <c r="AA13" s="492"/>
      <c r="AB13" s="492"/>
      <c r="AC13" s="492"/>
      <c r="AD13" s="492"/>
      <c r="AE13" s="492"/>
      <c r="AF13" s="492"/>
      <c r="AG13" s="492"/>
      <c r="AH13" s="492"/>
      <c r="AI13" s="521"/>
    </row>
    <row r="14" spans="1:35" ht="18.75" x14ac:dyDescent="0.25">
      <c r="A14" s="399"/>
      <c r="B14" s="400"/>
      <c r="C14" s="100" t="s">
        <v>68</v>
      </c>
      <c r="D14" s="484"/>
      <c r="E14" s="485"/>
      <c r="F14" s="484"/>
      <c r="G14" s="484"/>
      <c r="H14" s="484"/>
      <c r="I14" s="484"/>
      <c r="J14" s="484"/>
      <c r="K14" s="484"/>
      <c r="L14" s="485"/>
      <c r="M14" s="484"/>
      <c r="N14" s="484"/>
      <c r="O14" s="484"/>
      <c r="P14" s="484"/>
      <c r="Q14" s="484"/>
      <c r="R14" s="484"/>
      <c r="S14" s="485"/>
      <c r="T14" s="484"/>
      <c r="U14" s="484"/>
      <c r="V14" s="484"/>
      <c r="W14" s="484"/>
      <c r="X14" s="484"/>
      <c r="Y14" s="484"/>
      <c r="Z14" s="485"/>
      <c r="AA14" s="484"/>
      <c r="AB14" s="484"/>
      <c r="AC14" s="484"/>
      <c r="AD14" s="484"/>
      <c r="AE14" s="484"/>
      <c r="AF14" s="484"/>
      <c r="AG14" s="485"/>
      <c r="AH14" s="493"/>
      <c r="AI14" s="518"/>
    </row>
    <row r="15" spans="1:35" ht="21.75" thickBot="1" x14ac:dyDescent="0.3">
      <c r="A15" s="389"/>
      <c r="B15" s="391"/>
      <c r="C15" s="101" t="s">
        <v>69</v>
      </c>
      <c r="D15" s="486"/>
      <c r="E15" s="486"/>
      <c r="F15" s="486"/>
      <c r="G15" s="486"/>
      <c r="H15" s="486"/>
      <c r="I15" s="486"/>
      <c r="J15" s="486"/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  <c r="AD15" s="486"/>
      <c r="AE15" s="486"/>
      <c r="AF15" s="486"/>
      <c r="AG15" s="486"/>
      <c r="AH15" s="486"/>
      <c r="AI15" s="522"/>
    </row>
    <row r="16" spans="1:35" ht="18.75" x14ac:dyDescent="0.25">
      <c r="A16" s="401"/>
      <c r="B16" s="402"/>
      <c r="C16" s="102" t="s">
        <v>68</v>
      </c>
      <c r="D16" s="493"/>
      <c r="E16" s="493"/>
      <c r="F16" s="493"/>
      <c r="G16" s="494"/>
      <c r="H16" s="494"/>
      <c r="I16" s="494"/>
      <c r="J16" s="494"/>
      <c r="K16" s="494"/>
      <c r="L16" s="493"/>
      <c r="M16" s="493"/>
      <c r="N16" s="493"/>
      <c r="O16" s="493"/>
      <c r="P16" s="493"/>
      <c r="Q16" s="493"/>
      <c r="R16" s="493"/>
      <c r="S16" s="493"/>
      <c r="T16" s="494"/>
      <c r="U16" s="494"/>
      <c r="V16" s="494"/>
      <c r="W16" s="493"/>
      <c r="X16" s="493"/>
      <c r="Y16" s="493"/>
      <c r="Z16" s="493"/>
      <c r="AA16" s="494"/>
      <c r="AB16" s="494"/>
      <c r="AC16" s="494"/>
      <c r="AD16" s="493"/>
      <c r="AE16" s="493"/>
      <c r="AF16" s="493"/>
      <c r="AG16" s="493"/>
      <c r="AH16" s="493"/>
      <c r="AI16" s="518"/>
    </row>
    <row r="17" spans="1:37" ht="21.75" thickBot="1" x14ac:dyDescent="0.3">
      <c r="A17" s="389"/>
      <c r="B17" s="391"/>
      <c r="C17" s="101" t="s">
        <v>69</v>
      </c>
      <c r="D17" s="486"/>
      <c r="E17" s="486"/>
      <c r="F17" s="486"/>
      <c r="G17" s="486"/>
      <c r="H17" s="486"/>
      <c r="I17" s="486"/>
      <c r="J17" s="486"/>
      <c r="K17" s="486"/>
      <c r="L17" s="486"/>
      <c r="M17" s="486"/>
      <c r="N17" s="486"/>
      <c r="O17" s="486"/>
      <c r="P17" s="495"/>
      <c r="Q17" s="496"/>
      <c r="R17" s="486"/>
      <c r="S17" s="486"/>
      <c r="T17" s="486"/>
      <c r="U17" s="486"/>
      <c r="V17" s="486"/>
      <c r="W17" s="486"/>
      <c r="X17" s="486"/>
      <c r="Y17" s="486"/>
      <c r="Z17" s="486"/>
      <c r="AA17" s="486"/>
      <c r="AB17" s="486"/>
      <c r="AC17" s="486"/>
      <c r="AD17" s="486"/>
      <c r="AE17" s="486"/>
      <c r="AF17" s="486"/>
      <c r="AG17" s="486"/>
      <c r="AH17" s="486"/>
      <c r="AI17" s="522"/>
    </row>
    <row r="18" spans="1:37" ht="18.75" x14ac:dyDescent="0.25">
      <c r="A18" s="399"/>
      <c r="B18" s="402"/>
      <c r="C18" s="102" t="s">
        <v>68</v>
      </c>
      <c r="D18" s="493"/>
      <c r="E18" s="493"/>
      <c r="F18" s="493"/>
      <c r="G18" s="493"/>
      <c r="H18" s="493"/>
      <c r="I18" s="493"/>
      <c r="J18" s="493"/>
      <c r="K18" s="493"/>
      <c r="L18" s="493"/>
      <c r="M18" s="493"/>
      <c r="N18" s="493"/>
      <c r="O18" s="493"/>
      <c r="P18" s="493"/>
      <c r="Q18" s="484"/>
      <c r="R18" s="497"/>
      <c r="S18" s="493"/>
      <c r="T18" s="493"/>
      <c r="U18" s="493"/>
      <c r="V18" s="493"/>
      <c r="W18" s="494"/>
      <c r="X18" s="494"/>
      <c r="Y18" s="494"/>
      <c r="Z18" s="493"/>
      <c r="AA18" s="493"/>
      <c r="AB18" s="493"/>
      <c r="AC18" s="493"/>
      <c r="AD18" s="494"/>
      <c r="AE18" s="494"/>
      <c r="AF18" s="493"/>
      <c r="AG18" s="493"/>
      <c r="AH18" s="493"/>
      <c r="AI18" s="518"/>
    </row>
    <row r="19" spans="1:37" ht="21.75" thickBot="1" x14ac:dyDescent="0.3">
      <c r="A19" s="389"/>
      <c r="B19" s="391"/>
      <c r="C19" s="101" t="s">
        <v>69</v>
      </c>
      <c r="D19" s="498"/>
      <c r="E19" s="486"/>
      <c r="F19" s="486"/>
      <c r="G19" s="486"/>
      <c r="H19" s="486"/>
      <c r="I19" s="486"/>
      <c r="J19" s="486"/>
      <c r="K19" s="486"/>
      <c r="L19" s="486"/>
      <c r="M19" s="486"/>
      <c r="N19" s="486"/>
      <c r="O19" s="486"/>
      <c r="P19" s="486"/>
      <c r="Q19" s="495"/>
      <c r="R19" s="496"/>
      <c r="S19" s="486"/>
      <c r="T19" s="486"/>
      <c r="U19" s="495"/>
      <c r="V19" s="49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522"/>
    </row>
    <row r="20" spans="1:37" ht="18.75" x14ac:dyDescent="0.25">
      <c r="A20" s="401"/>
      <c r="B20" s="402"/>
      <c r="C20" s="102" t="s">
        <v>68</v>
      </c>
      <c r="D20" s="493"/>
      <c r="E20" s="493"/>
      <c r="F20" s="493"/>
      <c r="G20" s="493"/>
      <c r="H20" s="493"/>
      <c r="I20" s="493"/>
      <c r="J20" s="493"/>
      <c r="K20" s="493"/>
      <c r="L20" s="493"/>
      <c r="M20" s="493"/>
      <c r="N20" s="493"/>
      <c r="O20" s="493"/>
      <c r="P20" s="493"/>
      <c r="Q20" s="484"/>
      <c r="R20" s="484"/>
      <c r="S20" s="493"/>
      <c r="T20" s="494"/>
      <c r="U20" s="494"/>
      <c r="V20" s="494"/>
      <c r="W20" s="494"/>
      <c r="X20" s="494"/>
      <c r="Y20" s="494"/>
      <c r="Z20" s="493"/>
      <c r="AA20" s="494"/>
      <c r="AB20" s="494"/>
      <c r="AC20" s="494"/>
      <c r="AD20" s="494"/>
      <c r="AE20" s="494"/>
      <c r="AF20" s="493"/>
      <c r="AG20" s="493"/>
      <c r="AH20" s="493"/>
      <c r="AI20" s="523"/>
    </row>
    <row r="21" spans="1:37" ht="21.75" thickBot="1" x14ac:dyDescent="0.3">
      <c r="A21" s="389"/>
      <c r="B21" s="391"/>
      <c r="C21" s="101" t="s">
        <v>69</v>
      </c>
      <c r="D21" s="499"/>
      <c r="E21" s="499"/>
      <c r="F21" s="500"/>
      <c r="G21" s="486"/>
      <c r="H21" s="501"/>
      <c r="I21" s="502"/>
      <c r="J21" s="484"/>
      <c r="K21" s="486"/>
      <c r="L21" s="499"/>
      <c r="M21" s="486"/>
      <c r="N21" s="501"/>
      <c r="O21" s="502"/>
      <c r="P21" s="484"/>
      <c r="Q21" s="486"/>
      <c r="R21" s="499"/>
      <c r="S21" s="484"/>
      <c r="T21" s="503"/>
      <c r="U21" s="503"/>
      <c r="V21" s="486"/>
      <c r="W21" s="486"/>
      <c r="X21" s="502"/>
      <c r="Y21" s="484"/>
      <c r="Z21" s="504"/>
      <c r="AA21" s="504"/>
      <c r="AB21" s="505"/>
      <c r="AC21" s="503"/>
      <c r="AD21" s="506"/>
      <c r="AE21" s="484"/>
      <c r="AF21" s="484"/>
      <c r="AG21" s="503"/>
      <c r="AH21" s="499"/>
      <c r="AI21" s="522"/>
    </row>
    <row r="22" spans="1:37" ht="21" customHeight="1" x14ac:dyDescent="0.25">
      <c r="A22" s="399"/>
      <c r="B22" s="402"/>
      <c r="C22" s="102" t="s">
        <v>68</v>
      </c>
      <c r="D22" s="497"/>
      <c r="E22" s="497"/>
      <c r="F22" s="497"/>
      <c r="G22" s="497"/>
      <c r="H22" s="497"/>
      <c r="I22" s="497"/>
      <c r="J22" s="497"/>
      <c r="K22" s="497"/>
      <c r="L22" s="497"/>
      <c r="M22" s="497"/>
      <c r="N22" s="497"/>
      <c r="O22" s="497"/>
      <c r="P22" s="497"/>
      <c r="Q22" s="497"/>
      <c r="R22" s="497"/>
      <c r="S22" s="497"/>
      <c r="T22" s="497"/>
      <c r="U22" s="497"/>
      <c r="V22" s="497"/>
      <c r="W22" s="497"/>
      <c r="X22" s="497"/>
      <c r="Y22" s="497"/>
      <c r="Z22" s="497"/>
      <c r="AA22" s="497"/>
      <c r="AB22" s="497"/>
      <c r="AC22" s="497"/>
      <c r="AD22" s="497"/>
      <c r="AE22" s="497"/>
      <c r="AF22" s="497"/>
      <c r="AG22" s="497"/>
      <c r="AH22" s="497"/>
      <c r="AI22" s="524"/>
    </row>
    <row r="23" spans="1:37" ht="21.75" thickBot="1" x14ac:dyDescent="0.3">
      <c r="A23" s="389"/>
      <c r="B23" s="404"/>
      <c r="C23" s="101" t="s">
        <v>69</v>
      </c>
      <c r="D23" s="495"/>
      <c r="E23" s="495"/>
      <c r="F23" s="486"/>
      <c r="G23" s="486"/>
      <c r="H23" s="486"/>
      <c r="I23" s="486"/>
      <c r="J23" s="486"/>
      <c r="K23" s="486"/>
      <c r="L23" s="495"/>
      <c r="M23" s="486"/>
      <c r="N23" s="486"/>
      <c r="O23" s="486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525"/>
    </row>
    <row r="24" spans="1:37" ht="18.75" x14ac:dyDescent="0.25">
      <c r="A24" s="401"/>
      <c r="B24" s="407"/>
      <c r="C24" s="104" t="s">
        <v>68</v>
      </c>
      <c r="D24" s="493"/>
      <c r="E24" s="493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4"/>
      <c r="S24" s="493"/>
      <c r="T24" s="494"/>
      <c r="U24" s="494"/>
      <c r="V24" s="494"/>
      <c r="W24" s="494"/>
      <c r="X24" s="494"/>
      <c r="Y24" s="494"/>
      <c r="Z24" s="493"/>
      <c r="AA24" s="494"/>
      <c r="AB24" s="494"/>
      <c r="AC24" s="494"/>
      <c r="AD24" s="494"/>
      <c r="AE24" s="494"/>
      <c r="AF24" s="493"/>
      <c r="AG24" s="493"/>
      <c r="AH24" s="493"/>
      <c r="AI24" s="524"/>
    </row>
    <row r="25" spans="1:37" ht="21.75" thickBot="1" x14ac:dyDescent="0.3">
      <c r="A25" s="389"/>
      <c r="B25" s="408"/>
      <c r="C25" s="105" t="s">
        <v>69</v>
      </c>
      <c r="D25" s="503"/>
      <c r="E25" s="501"/>
      <c r="F25" s="484"/>
      <c r="G25" s="503"/>
      <c r="H25" s="503"/>
      <c r="I25" s="503"/>
      <c r="J25" s="503"/>
      <c r="K25" s="485"/>
      <c r="L25" s="501"/>
      <c r="M25" s="486"/>
      <c r="N25" s="486"/>
      <c r="O25" s="505"/>
      <c r="P25" s="505"/>
      <c r="Q25" s="484"/>
      <c r="R25" s="502"/>
      <c r="S25" s="501"/>
      <c r="T25" s="490"/>
      <c r="U25" s="505"/>
      <c r="V25" s="485"/>
      <c r="W25" s="501"/>
      <c r="X25" s="485"/>
      <c r="Y25" s="484"/>
      <c r="Z25" s="484"/>
      <c r="AA25" s="490"/>
      <c r="AB25" s="506"/>
      <c r="AC25" s="505"/>
      <c r="AD25" s="490"/>
      <c r="AE25" s="490"/>
      <c r="AF25" s="490"/>
      <c r="AG25" s="486"/>
      <c r="AH25" s="503"/>
      <c r="AI25" s="525"/>
    </row>
    <row r="26" spans="1:37" ht="18.75" x14ac:dyDescent="0.25">
      <c r="A26" s="399"/>
      <c r="B26" s="400"/>
      <c r="C26" s="100" t="s">
        <v>68</v>
      </c>
      <c r="D26" s="493"/>
      <c r="E26" s="493"/>
      <c r="F26" s="493"/>
      <c r="G26" s="493"/>
      <c r="H26" s="493"/>
      <c r="I26" s="493"/>
      <c r="J26" s="493"/>
      <c r="K26" s="493"/>
      <c r="L26" s="493"/>
      <c r="M26" s="493"/>
      <c r="N26" s="493"/>
      <c r="O26" s="493"/>
      <c r="P26" s="493"/>
      <c r="Q26" s="494"/>
      <c r="R26" s="493"/>
      <c r="S26" s="493"/>
      <c r="T26" s="494"/>
      <c r="U26" s="494"/>
      <c r="V26" s="494"/>
      <c r="W26" s="494"/>
      <c r="X26" s="494"/>
      <c r="Y26" s="493"/>
      <c r="Z26" s="493"/>
      <c r="AA26" s="494"/>
      <c r="AB26" s="494"/>
      <c r="AC26" s="494"/>
      <c r="AD26" s="494"/>
      <c r="AE26" s="493"/>
      <c r="AF26" s="493"/>
      <c r="AG26" s="493"/>
      <c r="AH26" s="493"/>
      <c r="AI26" s="526"/>
    </row>
    <row r="27" spans="1:37" ht="21.75" thickBot="1" x14ac:dyDescent="0.3">
      <c r="A27" s="389"/>
      <c r="B27" s="404"/>
      <c r="C27" s="101" t="s">
        <v>69</v>
      </c>
      <c r="D27" s="498"/>
      <c r="E27" s="486"/>
      <c r="F27" s="486"/>
      <c r="G27" s="486"/>
      <c r="H27" s="486"/>
      <c r="I27" s="486"/>
      <c r="J27" s="486"/>
      <c r="K27" s="486"/>
      <c r="L27" s="486"/>
      <c r="M27" s="486"/>
      <c r="N27" s="486"/>
      <c r="O27" s="486"/>
      <c r="P27" s="486"/>
      <c r="Q27" s="486"/>
      <c r="R27" s="486"/>
      <c r="S27" s="486"/>
      <c r="T27" s="486"/>
      <c r="U27" s="486"/>
      <c r="V27" s="486"/>
      <c r="W27" s="486"/>
      <c r="X27" s="486"/>
      <c r="Y27" s="486"/>
      <c r="Z27" s="486"/>
      <c r="AA27" s="486"/>
      <c r="AB27" s="486"/>
      <c r="AC27" s="486"/>
      <c r="AD27" s="486"/>
      <c r="AE27" s="486"/>
      <c r="AF27" s="486"/>
      <c r="AG27" s="486"/>
      <c r="AH27" s="486"/>
      <c r="AI27" s="519"/>
    </row>
    <row r="28" spans="1:37" ht="26.25" customHeight="1" x14ac:dyDescent="0.25">
      <c r="A28" s="401"/>
      <c r="B28" s="407"/>
      <c r="C28" s="104" t="s">
        <v>68</v>
      </c>
      <c r="D28" s="485"/>
      <c r="E28" s="493"/>
      <c r="F28" s="493"/>
      <c r="G28" s="493"/>
      <c r="H28" s="493"/>
      <c r="I28" s="493"/>
      <c r="J28" s="493"/>
      <c r="K28" s="493"/>
      <c r="L28" s="493"/>
      <c r="M28" s="493"/>
      <c r="N28" s="493"/>
      <c r="O28" s="493"/>
      <c r="P28" s="493"/>
      <c r="Q28" s="494"/>
      <c r="R28" s="494"/>
      <c r="S28" s="493"/>
      <c r="T28" s="493"/>
      <c r="U28" s="494"/>
      <c r="V28" s="494"/>
      <c r="W28" s="494"/>
      <c r="X28" s="494"/>
      <c r="Y28" s="494"/>
      <c r="Z28" s="493"/>
      <c r="AA28" s="494"/>
      <c r="AB28" s="494"/>
      <c r="AC28" s="494"/>
      <c r="AD28" s="494"/>
      <c r="AE28" s="494"/>
      <c r="AF28" s="493"/>
      <c r="AG28" s="493"/>
      <c r="AH28" s="493"/>
      <c r="AI28" s="524"/>
    </row>
    <row r="29" spans="1:37" ht="29.25" customHeight="1" thickBot="1" x14ac:dyDescent="0.3">
      <c r="A29" s="389"/>
      <c r="B29" s="408"/>
      <c r="C29" s="105" t="s">
        <v>69</v>
      </c>
      <c r="D29" s="503"/>
      <c r="E29" s="484"/>
      <c r="F29" s="501"/>
      <c r="G29" s="500"/>
      <c r="H29" s="484"/>
      <c r="I29" s="484"/>
      <c r="J29" s="500"/>
      <c r="K29" s="507"/>
      <c r="L29" s="484"/>
      <c r="M29" s="501"/>
      <c r="N29" s="500"/>
      <c r="O29" s="507"/>
      <c r="P29" s="505"/>
      <c r="Q29" s="503"/>
      <c r="R29" s="503"/>
      <c r="S29" s="505"/>
      <c r="T29" s="501"/>
      <c r="U29" s="484"/>
      <c r="V29" s="484"/>
      <c r="W29" s="505"/>
      <c r="X29" s="484"/>
      <c r="Y29" s="507"/>
      <c r="Z29" s="505"/>
      <c r="AA29" s="501"/>
      <c r="AB29" s="484"/>
      <c r="AC29" s="505"/>
      <c r="AD29" s="505"/>
      <c r="AE29" s="505"/>
      <c r="AF29" s="503"/>
      <c r="AG29" s="508"/>
      <c r="AH29" s="505"/>
      <c r="AI29" s="525"/>
    </row>
    <row r="30" spans="1:37" ht="18.75" x14ac:dyDescent="0.25">
      <c r="A30" s="399"/>
      <c r="B30" s="400"/>
      <c r="C30" s="100" t="s">
        <v>68</v>
      </c>
      <c r="D30" s="493"/>
      <c r="E30" s="493"/>
      <c r="F30" s="493"/>
      <c r="G30" s="493"/>
      <c r="H30" s="493"/>
      <c r="I30" s="493"/>
      <c r="J30" s="493"/>
      <c r="K30" s="493"/>
      <c r="L30" s="493"/>
      <c r="M30" s="493"/>
      <c r="N30" s="493"/>
      <c r="O30" s="493"/>
      <c r="P30" s="493"/>
      <c r="Q30" s="494"/>
      <c r="R30" s="494"/>
      <c r="S30" s="493"/>
      <c r="T30" s="493"/>
      <c r="U30" s="494"/>
      <c r="V30" s="494"/>
      <c r="W30" s="494"/>
      <c r="X30" s="494"/>
      <c r="Y30" s="494"/>
      <c r="Z30" s="493"/>
      <c r="AA30" s="493"/>
      <c r="AB30" s="494"/>
      <c r="AC30" s="494"/>
      <c r="AD30" s="494"/>
      <c r="AE30" s="494"/>
      <c r="AF30" s="493"/>
      <c r="AG30" s="493"/>
      <c r="AH30" s="493"/>
      <c r="AI30" s="526"/>
    </row>
    <row r="31" spans="1:37" ht="21.75" thickBot="1" x14ac:dyDescent="0.3">
      <c r="A31" s="389"/>
      <c r="B31" s="404"/>
      <c r="C31" s="101" t="s">
        <v>69</v>
      </c>
      <c r="D31" s="486"/>
      <c r="E31" s="486"/>
      <c r="F31" s="486"/>
      <c r="G31" s="486"/>
      <c r="H31" s="486"/>
      <c r="I31" s="487"/>
      <c r="J31" s="486"/>
      <c r="K31" s="486"/>
      <c r="L31" s="486"/>
      <c r="M31" s="486"/>
      <c r="N31" s="486"/>
      <c r="O31" s="486"/>
      <c r="P31" s="486"/>
      <c r="Q31" s="486"/>
      <c r="R31" s="486"/>
      <c r="S31" s="486"/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 s="519"/>
    </row>
    <row r="32" spans="1:37" ht="18.75" x14ac:dyDescent="0.25">
      <c r="A32" s="399"/>
      <c r="B32" s="407"/>
      <c r="C32" s="104" t="s">
        <v>68</v>
      </c>
      <c r="D32" s="488"/>
      <c r="E32" s="488"/>
      <c r="F32" s="488"/>
      <c r="G32" s="488"/>
      <c r="H32" s="488"/>
      <c r="I32" s="488"/>
      <c r="J32" s="488"/>
      <c r="K32" s="488"/>
      <c r="L32" s="488"/>
      <c r="M32" s="488"/>
      <c r="N32" s="488"/>
      <c r="O32" s="488"/>
      <c r="P32" s="488"/>
      <c r="Q32" s="488"/>
      <c r="R32" s="488"/>
      <c r="S32" s="488"/>
      <c r="T32" s="488"/>
      <c r="U32" s="488"/>
      <c r="V32" s="488"/>
      <c r="W32" s="488"/>
      <c r="X32" s="488"/>
      <c r="Y32" s="488"/>
      <c r="Z32" s="488"/>
      <c r="AA32" s="488"/>
      <c r="AB32" s="488"/>
      <c r="AC32" s="488"/>
      <c r="AD32" s="488"/>
      <c r="AE32" s="488"/>
      <c r="AF32" s="488"/>
      <c r="AG32" s="488"/>
      <c r="AH32" s="488"/>
      <c r="AI32" s="523"/>
      <c r="AJ32" s="148"/>
      <c r="AK32" s="110"/>
    </row>
    <row r="33" spans="1:37" ht="21.75" thickBot="1" x14ac:dyDescent="0.3">
      <c r="A33" s="389"/>
      <c r="B33" s="408"/>
      <c r="C33" s="105" t="s">
        <v>69</v>
      </c>
      <c r="D33" s="490"/>
      <c r="E33" s="490"/>
      <c r="F33" s="490"/>
      <c r="G33" s="490"/>
      <c r="H33" s="490"/>
      <c r="I33" s="490"/>
      <c r="J33" s="490"/>
      <c r="K33" s="490"/>
      <c r="L33" s="490"/>
      <c r="M33" s="490"/>
      <c r="N33" s="490"/>
      <c r="O33" s="490"/>
      <c r="P33" s="490"/>
      <c r="Q33" s="490"/>
      <c r="R33" s="490"/>
      <c r="S33" s="490"/>
      <c r="T33" s="490"/>
      <c r="U33" s="490"/>
      <c r="V33" s="490"/>
      <c r="W33" s="490"/>
      <c r="X33" s="490"/>
      <c r="Y33" s="490"/>
      <c r="Z33" s="490"/>
      <c r="AA33" s="490"/>
      <c r="AB33" s="490"/>
      <c r="AC33" s="490"/>
      <c r="AD33" s="490"/>
      <c r="AE33" s="490"/>
      <c r="AF33" s="490"/>
      <c r="AG33" s="490"/>
      <c r="AH33" s="490"/>
      <c r="AI33" s="522"/>
      <c r="AJ33" s="149"/>
      <c r="AK33" s="110"/>
    </row>
    <row r="34" spans="1:37" ht="18.75" x14ac:dyDescent="0.25">
      <c r="A34" s="401"/>
      <c r="B34" s="400"/>
      <c r="C34" s="100" t="s">
        <v>68</v>
      </c>
      <c r="D34" s="488"/>
      <c r="E34" s="488"/>
      <c r="F34" s="488"/>
      <c r="G34" s="488"/>
      <c r="H34" s="488"/>
      <c r="I34" s="488"/>
      <c r="J34" s="488"/>
      <c r="K34" s="488"/>
      <c r="L34" s="488"/>
      <c r="M34" s="488"/>
      <c r="N34" s="488"/>
      <c r="O34" s="488"/>
      <c r="P34" s="488"/>
      <c r="Q34" s="488"/>
      <c r="R34" s="488"/>
      <c r="S34" s="488"/>
      <c r="T34" s="488"/>
      <c r="U34" s="488"/>
      <c r="V34" s="488"/>
      <c r="W34" s="488"/>
      <c r="X34" s="488"/>
      <c r="Y34" s="488"/>
      <c r="Z34" s="488"/>
      <c r="AA34" s="488"/>
      <c r="AB34" s="488"/>
      <c r="AC34" s="488"/>
      <c r="AD34" s="488"/>
      <c r="AE34" s="488"/>
      <c r="AF34" s="488"/>
      <c r="AG34" s="488"/>
      <c r="AH34" s="488"/>
      <c r="AI34" s="524"/>
      <c r="AJ34" s="150"/>
      <c r="AK34" s="110"/>
    </row>
    <row r="35" spans="1:37" ht="21.75" thickBot="1" x14ac:dyDescent="0.3">
      <c r="A35" s="389"/>
      <c r="B35" s="408"/>
      <c r="C35" s="105" t="s">
        <v>69</v>
      </c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490"/>
      <c r="R35" s="490"/>
      <c r="S35" s="490"/>
      <c r="T35" s="490"/>
      <c r="U35" s="490"/>
      <c r="V35" s="490"/>
      <c r="W35" s="490"/>
      <c r="X35" s="490"/>
      <c r="Y35" s="490"/>
      <c r="Z35" s="490"/>
      <c r="AA35" s="490"/>
      <c r="AB35" s="490"/>
      <c r="AC35" s="490"/>
      <c r="AD35" s="490"/>
      <c r="AE35" s="490"/>
      <c r="AF35" s="490"/>
      <c r="AG35" s="490"/>
      <c r="AH35" s="490"/>
      <c r="AI35" s="525"/>
      <c r="AJ35" s="151"/>
      <c r="AK35" s="110"/>
    </row>
    <row r="36" spans="1:37" ht="24" customHeight="1" x14ac:dyDescent="0.25">
      <c r="A36" s="399"/>
      <c r="B36" s="400"/>
      <c r="C36" s="100" t="s">
        <v>68</v>
      </c>
      <c r="D36" s="488"/>
      <c r="E36" s="488"/>
      <c r="F36" s="488"/>
      <c r="G36" s="488"/>
      <c r="H36" s="488"/>
      <c r="I36" s="488"/>
      <c r="J36" s="488"/>
      <c r="K36" s="488"/>
      <c r="L36" s="488"/>
      <c r="M36" s="488"/>
      <c r="N36" s="488"/>
      <c r="O36" s="488"/>
      <c r="P36" s="488"/>
      <c r="Q36" s="488"/>
      <c r="R36" s="488"/>
      <c r="S36" s="488"/>
      <c r="T36" s="488"/>
      <c r="U36" s="488"/>
      <c r="V36" s="488"/>
      <c r="W36" s="488"/>
      <c r="X36" s="488"/>
      <c r="Y36" s="488"/>
      <c r="Z36" s="488"/>
      <c r="AA36" s="488"/>
      <c r="AB36" s="488"/>
      <c r="AC36" s="488"/>
      <c r="AD36" s="488"/>
      <c r="AE36" s="488"/>
      <c r="AF36" s="488"/>
      <c r="AG36" s="488"/>
      <c r="AH36" s="488"/>
      <c r="AI36" s="524"/>
      <c r="AJ36" s="151"/>
      <c r="AK36" s="110"/>
    </row>
    <row r="37" spans="1:37" ht="26.25" customHeight="1" thickBot="1" x14ac:dyDescent="0.3">
      <c r="A37" s="389"/>
      <c r="B37" s="408"/>
      <c r="C37" s="105" t="s">
        <v>69</v>
      </c>
      <c r="D37" s="490"/>
      <c r="E37" s="490"/>
      <c r="F37" s="490"/>
      <c r="G37" s="490"/>
      <c r="H37" s="490"/>
      <c r="I37" s="490"/>
      <c r="J37" s="490"/>
      <c r="K37" s="490"/>
      <c r="L37" s="490"/>
      <c r="M37" s="490"/>
      <c r="N37" s="490"/>
      <c r="O37" s="490"/>
      <c r="P37" s="490"/>
      <c r="Q37" s="490"/>
      <c r="R37" s="490"/>
      <c r="S37" s="490"/>
      <c r="T37" s="490"/>
      <c r="U37" s="490"/>
      <c r="V37" s="490"/>
      <c r="W37" s="490"/>
      <c r="X37" s="490"/>
      <c r="Y37" s="490"/>
      <c r="Z37" s="490"/>
      <c r="AA37" s="490"/>
      <c r="AB37" s="490"/>
      <c r="AC37" s="490"/>
      <c r="AD37" s="490"/>
      <c r="AE37" s="490"/>
      <c r="AF37" s="490"/>
      <c r="AG37" s="490"/>
      <c r="AH37" s="490"/>
      <c r="AI37" s="525"/>
      <c r="AJ37" s="151"/>
      <c r="AK37" s="110"/>
    </row>
    <row r="38" spans="1:37" ht="18.75" x14ac:dyDescent="0.25">
      <c r="A38" s="401"/>
      <c r="B38" s="400"/>
      <c r="C38" s="100" t="s">
        <v>68</v>
      </c>
      <c r="D38" s="488"/>
      <c r="E38" s="488"/>
      <c r="F38" s="488"/>
      <c r="G38" s="488"/>
      <c r="H38" s="488"/>
      <c r="I38" s="488"/>
      <c r="J38" s="488"/>
      <c r="K38" s="488"/>
      <c r="L38" s="488"/>
      <c r="M38" s="488"/>
      <c r="N38" s="488"/>
      <c r="O38" s="488"/>
      <c r="P38" s="488"/>
      <c r="Q38" s="509"/>
      <c r="R38" s="488"/>
      <c r="S38" s="488"/>
      <c r="T38" s="488"/>
      <c r="U38" s="488"/>
      <c r="V38" s="488"/>
      <c r="W38" s="488"/>
      <c r="X38" s="488"/>
      <c r="Y38" s="488"/>
      <c r="Z38" s="488"/>
      <c r="AA38" s="488"/>
      <c r="AB38" s="488"/>
      <c r="AC38" s="488"/>
      <c r="AD38" s="488"/>
      <c r="AE38" s="488"/>
      <c r="AF38" s="488"/>
      <c r="AG38" s="488"/>
      <c r="AH38" s="488"/>
      <c r="AI38" s="523"/>
      <c r="AJ38" s="151"/>
      <c r="AK38" s="110"/>
    </row>
    <row r="39" spans="1:37" ht="21.75" thickBot="1" x14ac:dyDescent="0.3">
      <c r="A39" s="403"/>
      <c r="B39" s="404"/>
      <c r="C39" s="101" t="s">
        <v>69</v>
      </c>
      <c r="D39" s="486"/>
      <c r="E39" s="486"/>
      <c r="F39" s="486"/>
      <c r="G39" s="486"/>
      <c r="H39" s="486"/>
      <c r="I39" s="486"/>
      <c r="J39" s="486"/>
      <c r="K39" s="486"/>
      <c r="L39" s="486"/>
      <c r="M39" s="486"/>
      <c r="N39" s="486"/>
      <c r="O39" s="486"/>
      <c r="P39" s="486"/>
      <c r="Q39" s="486"/>
      <c r="R39" s="486"/>
      <c r="S39" s="486"/>
      <c r="T39" s="486"/>
      <c r="U39" s="486"/>
      <c r="V39" s="486"/>
      <c r="W39" s="486"/>
      <c r="X39" s="486"/>
      <c r="Y39" s="486"/>
      <c r="Z39" s="486"/>
      <c r="AA39" s="486"/>
      <c r="AB39" s="486"/>
      <c r="AC39" s="486"/>
      <c r="AD39" s="486"/>
      <c r="AE39" s="486"/>
      <c r="AF39" s="486"/>
      <c r="AG39" s="486"/>
      <c r="AH39" s="486"/>
      <c r="AI39" s="519"/>
      <c r="AJ39" s="151"/>
      <c r="AK39" s="110"/>
    </row>
    <row r="40" spans="1:37" ht="18.75" x14ac:dyDescent="0.25">
      <c r="A40" s="405"/>
      <c r="B40" s="407"/>
      <c r="C40" s="104" t="s">
        <v>68</v>
      </c>
      <c r="D40" s="488"/>
      <c r="E40" s="488"/>
      <c r="F40" s="488"/>
      <c r="G40" s="488"/>
      <c r="H40" s="488"/>
      <c r="I40" s="488"/>
      <c r="J40" s="488"/>
      <c r="K40" s="488"/>
      <c r="L40" s="488"/>
      <c r="M40" s="488"/>
      <c r="N40" s="488"/>
      <c r="O40" s="488"/>
      <c r="P40" s="488"/>
      <c r="Q40" s="488"/>
      <c r="R40" s="488"/>
      <c r="S40" s="488"/>
      <c r="T40" s="488"/>
      <c r="U40" s="488"/>
      <c r="V40" s="488"/>
      <c r="W40" s="488"/>
      <c r="X40" s="488"/>
      <c r="Y40" s="488"/>
      <c r="Z40" s="488"/>
      <c r="AA40" s="488"/>
      <c r="AB40" s="488"/>
      <c r="AC40" s="488"/>
      <c r="AD40" s="488"/>
      <c r="AE40" s="488"/>
      <c r="AF40" s="488"/>
      <c r="AG40" s="488"/>
      <c r="AH40" s="488"/>
      <c r="AI40" s="523"/>
      <c r="AJ40" s="151"/>
      <c r="AK40" s="110"/>
    </row>
    <row r="41" spans="1:37" ht="21.75" thickBot="1" x14ac:dyDescent="0.3">
      <c r="A41" s="406"/>
      <c r="B41" s="408"/>
      <c r="C41" s="105" t="s">
        <v>69</v>
      </c>
      <c r="D41" s="490"/>
      <c r="E41" s="490"/>
      <c r="F41" s="490"/>
      <c r="G41" s="490"/>
      <c r="H41" s="490"/>
      <c r="I41" s="490"/>
      <c r="J41" s="490"/>
      <c r="K41" s="490"/>
      <c r="L41" s="490"/>
      <c r="M41" s="490"/>
      <c r="N41" s="490"/>
      <c r="O41" s="490"/>
      <c r="P41" s="490"/>
      <c r="Q41" s="490"/>
      <c r="R41" s="490"/>
      <c r="S41" s="490"/>
      <c r="T41" s="490"/>
      <c r="U41" s="490"/>
      <c r="V41" s="490"/>
      <c r="W41" s="490"/>
      <c r="X41" s="490"/>
      <c r="Y41" s="490"/>
      <c r="Z41" s="490"/>
      <c r="AA41" s="490"/>
      <c r="AB41" s="490"/>
      <c r="AC41" s="490"/>
      <c r="AD41" s="490"/>
      <c r="AE41" s="490"/>
      <c r="AF41" s="490"/>
      <c r="AG41" s="490"/>
      <c r="AH41" s="490"/>
      <c r="AI41" s="519"/>
      <c r="AJ41" s="151"/>
      <c r="AK41" s="110"/>
    </row>
    <row r="42" spans="1:37" ht="21.75" customHeight="1" x14ac:dyDescent="0.25">
      <c r="A42" s="399"/>
      <c r="B42" s="400"/>
      <c r="C42" s="106" t="s">
        <v>68</v>
      </c>
      <c r="D42" s="493"/>
      <c r="E42" s="493"/>
      <c r="F42" s="493"/>
      <c r="G42" s="493"/>
      <c r="H42" s="493"/>
      <c r="I42" s="493"/>
      <c r="J42" s="493"/>
      <c r="K42" s="493"/>
      <c r="L42" s="493"/>
      <c r="M42" s="493"/>
      <c r="N42" s="493"/>
      <c r="O42" s="493"/>
      <c r="P42" s="493"/>
      <c r="Q42" s="493"/>
      <c r="R42" s="493"/>
      <c r="S42" s="493"/>
      <c r="T42" s="493"/>
      <c r="U42" s="493"/>
      <c r="V42" s="493"/>
      <c r="W42" s="493"/>
      <c r="X42" s="493"/>
      <c r="Y42" s="493"/>
      <c r="Z42" s="493"/>
      <c r="AA42" s="493"/>
      <c r="AB42" s="493"/>
      <c r="AC42" s="493"/>
      <c r="AD42" s="493"/>
      <c r="AE42" s="493"/>
      <c r="AF42" s="493"/>
      <c r="AG42" s="493"/>
      <c r="AH42" s="493"/>
      <c r="AI42" s="524"/>
      <c r="AJ42" s="151"/>
      <c r="AK42" s="110"/>
    </row>
    <row r="43" spans="1:37" ht="28.5" customHeight="1" thickBot="1" x14ac:dyDescent="0.3">
      <c r="A43" s="389"/>
      <c r="B43" s="408"/>
      <c r="C43" s="108" t="s">
        <v>69</v>
      </c>
      <c r="D43" s="500"/>
      <c r="E43" s="510"/>
      <c r="F43" s="492"/>
      <c r="G43" s="492"/>
      <c r="H43" s="492"/>
      <c r="I43" s="500"/>
      <c r="J43" s="492"/>
      <c r="K43" s="492"/>
      <c r="L43" s="510"/>
      <c r="M43" s="492"/>
      <c r="N43" s="505"/>
      <c r="O43" s="505"/>
      <c r="P43" s="492"/>
      <c r="Q43" s="492"/>
      <c r="R43" s="505"/>
      <c r="S43" s="492"/>
      <c r="T43" s="505"/>
      <c r="U43" s="492"/>
      <c r="V43" s="492"/>
      <c r="W43" s="492"/>
      <c r="X43" s="492"/>
      <c r="Y43" s="505"/>
      <c r="Z43" s="492"/>
      <c r="AA43" s="505"/>
      <c r="AB43" s="505"/>
      <c r="AC43" s="492"/>
      <c r="AD43" s="505"/>
      <c r="AE43" s="511"/>
      <c r="AF43" s="505"/>
      <c r="AG43" s="512"/>
      <c r="AH43" s="492"/>
      <c r="AI43" s="525"/>
      <c r="AJ43" s="151"/>
      <c r="AK43" s="110"/>
    </row>
    <row r="44" spans="1:37" ht="21" x14ac:dyDescent="0.25">
      <c r="A44" s="401"/>
      <c r="B44" s="400"/>
      <c r="C44" s="106" t="s">
        <v>68</v>
      </c>
      <c r="D44" s="513"/>
      <c r="E44" s="513"/>
      <c r="F44" s="513"/>
      <c r="G44" s="513"/>
      <c r="H44" s="513"/>
      <c r="I44" s="514"/>
      <c r="J44" s="514"/>
      <c r="K44" s="514"/>
      <c r="L44" s="513"/>
      <c r="M44" s="514"/>
      <c r="N44" s="514"/>
      <c r="O44" s="514"/>
      <c r="P44" s="514"/>
      <c r="Q44" s="514"/>
      <c r="R44" s="514"/>
      <c r="S44" s="514"/>
      <c r="T44" s="514"/>
      <c r="U44" s="514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27"/>
      <c r="AJ44" s="147"/>
      <c r="AK44" s="110"/>
    </row>
    <row r="45" spans="1:37" ht="19.5" thickBot="1" x14ac:dyDescent="0.3">
      <c r="A45" s="389"/>
      <c r="B45" s="391"/>
      <c r="C45" s="103" t="s">
        <v>69</v>
      </c>
      <c r="D45" s="485"/>
      <c r="E45" s="485"/>
      <c r="F45" s="485"/>
      <c r="G45" s="485"/>
      <c r="H45" s="485"/>
      <c r="I45" s="485"/>
      <c r="J45" s="485"/>
      <c r="K45" s="485"/>
      <c r="L45" s="485"/>
      <c r="M45" s="485"/>
      <c r="N45" s="485"/>
      <c r="O45" s="485"/>
      <c r="P45" s="485"/>
      <c r="Q45" s="485"/>
      <c r="R45" s="485"/>
      <c r="S45" s="485"/>
      <c r="T45" s="485"/>
      <c r="U45" s="485"/>
      <c r="V45" s="485"/>
      <c r="W45" s="485"/>
      <c r="X45" s="485"/>
      <c r="Y45" s="485"/>
      <c r="Z45" s="485"/>
      <c r="AA45" s="485"/>
      <c r="AB45" s="485"/>
      <c r="AC45" s="485"/>
      <c r="AD45" s="485"/>
      <c r="AE45" s="485"/>
      <c r="AF45" s="485"/>
      <c r="AG45" s="485"/>
      <c r="AH45" s="485"/>
      <c r="AI45" s="522"/>
    </row>
    <row r="46" spans="1:37" ht="18.75" x14ac:dyDescent="0.25">
      <c r="A46" s="399"/>
      <c r="B46" s="400"/>
      <c r="C46" s="102" t="s">
        <v>68</v>
      </c>
      <c r="D46" s="493"/>
      <c r="E46" s="493"/>
      <c r="F46" s="493"/>
      <c r="G46" s="493"/>
      <c r="H46" s="493"/>
      <c r="I46" s="493"/>
      <c r="J46" s="493"/>
      <c r="K46" s="493"/>
      <c r="L46" s="493"/>
      <c r="M46" s="493"/>
      <c r="N46" s="493"/>
      <c r="O46" s="493"/>
      <c r="P46" s="493"/>
      <c r="Q46" s="493"/>
      <c r="R46" s="493"/>
      <c r="S46" s="493"/>
      <c r="T46" s="493"/>
      <c r="U46" s="493"/>
      <c r="V46" s="493"/>
      <c r="W46" s="493"/>
      <c r="X46" s="493"/>
      <c r="Y46" s="493"/>
      <c r="Z46" s="493"/>
      <c r="AA46" s="493"/>
      <c r="AB46" s="493"/>
      <c r="AC46" s="493"/>
      <c r="AD46" s="493"/>
      <c r="AE46" s="493"/>
      <c r="AF46" s="493"/>
      <c r="AG46" s="493"/>
      <c r="AH46" s="493"/>
      <c r="AI46" s="527"/>
    </row>
    <row r="47" spans="1:37" ht="21.75" thickBot="1" x14ac:dyDescent="0.3">
      <c r="A47" s="389"/>
      <c r="B47" s="404"/>
      <c r="C47" s="101" t="s">
        <v>69</v>
      </c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86"/>
      <c r="AI47" s="519"/>
    </row>
    <row r="48" spans="1:37" ht="18.75" x14ac:dyDescent="0.25">
      <c r="A48" s="401"/>
      <c r="B48" s="407"/>
      <c r="C48" s="104" t="s">
        <v>68</v>
      </c>
      <c r="D48" s="493"/>
      <c r="E48" s="493"/>
      <c r="F48" s="493"/>
      <c r="G48" s="493"/>
      <c r="H48" s="493"/>
      <c r="I48" s="493"/>
      <c r="J48" s="493"/>
      <c r="K48" s="493"/>
      <c r="L48" s="493"/>
      <c r="M48" s="493"/>
      <c r="N48" s="493"/>
      <c r="O48" s="493"/>
      <c r="P48" s="493"/>
      <c r="Q48" s="493"/>
      <c r="R48" s="493"/>
      <c r="S48" s="493"/>
      <c r="T48" s="493"/>
      <c r="U48" s="493"/>
      <c r="V48" s="493"/>
      <c r="W48" s="493"/>
      <c r="X48" s="493"/>
      <c r="Y48" s="493"/>
      <c r="Z48" s="493"/>
      <c r="AA48" s="493"/>
      <c r="AB48" s="493"/>
      <c r="AC48" s="493"/>
      <c r="AD48" s="493"/>
      <c r="AE48" s="493"/>
      <c r="AF48" s="493"/>
      <c r="AG48" s="493"/>
      <c r="AH48" s="493"/>
      <c r="AI48" s="523"/>
    </row>
    <row r="49" spans="1:35" ht="21.75" thickBot="1" x14ac:dyDescent="0.3">
      <c r="A49" s="389"/>
      <c r="B49" s="408"/>
      <c r="C49" s="105" t="s">
        <v>69</v>
      </c>
      <c r="D49" s="490"/>
      <c r="E49" s="490"/>
      <c r="F49" s="490"/>
      <c r="G49" s="490"/>
      <c r="H49" s="490"/>
      <c r="I49" s="490"/>
      <c r="J49" s="490"/>
      <c r="K49" s="490"/>
      <c r="L49" s="490"/>
      <c r="M49" s="490"/>
      <c r="N49" s="490"/>
      <c r="O49" s="490"/>
      <c r="P49" s="490"/>
      <c r="Q49" s="490"/>
      <c r="R49" s="490"/>
      <c r="S49" s="490"/>
      <c r="T49" s="490"/>
      <c r="U49" s="490"/>
      <c r="V49" s="490"/>
      <c r="W49" s="490"/>
      <c r="X49" s="490"/>
      <c r="Y49" s="490"/>
      <c r="Z49" s="490"/>
      <c r="AA49" s="490"/>
      <c r="AB49" s="490"/>
      <c r="AC49" s="490"/>
      <c r="AD49" s="490"/>
      <c r="AE49" s="490"/>
      <c r="AF49" s="490"/>
      <c r="AG49" s="490"/>
      <c r="AH49" s="490"/>
      <c r="AI49" s="528"/>
    </row>
    <row r="50" spans="1:35" ht="18.75" x14ac:dyDescent="0.25">
      <c r="A50" s="399"/>
      <c r="B50" s="400"/>
      <c r="C50" s="100" t="s">
        <v>68</v>
      </c>
      <c r="D50" s="493"/>
      <c r="E50" s="493"/>
      <c r="F50" s="493"/>
      <c r="G50" s="493"/>
      <c r="H50" s="493"/>
      <c r="I50" s="493"/>
      <c r="J50" s="493"/>
      <c r="K50" s="493"/>
      <c r="L50" s="493"/>
      <c r="M50" s="493"/>
      <c r="N50" s="493"/>
      <c r="O50" s="493"/>
      <c r="P50" s="493"/>
      <c r="Q50" s="493"/>
      <c r="R50" s="493"/>
      <c r="S50" s="493"/>
      <c r="T50" s="493"/>
      <c r="U50" s="493"/>
      <c r="V50" s="493"/>
      <c r="W50" s="493"/>
      <c r="X50" s="493"/>
      <c r="Y50" s="493"/>
      <c r="Z50" s="493"/>
      <c r="AA50" s="493"/>
      <c r="AB50" s="493"/>
      <c r="AC50" s="493"/>
      <c r="AD50" s="493"/>
      <c r="AE50" s="493"/>
      <c r="AF50" s="493"/>
      <c r="AG50" s="493"/>
      <c r="AH50" s="493"/>
      <c r="AI50" s="523"/>
    </row>
    <row r="51" spans="1:35" ht="21.75" thickBot="1" x14ac:dyDescent="0.3">
      <c r="A51" s="389"/>
      <c r="B51" s="408"/>
      <c r="C51" s="105" t="s">
        <v>69</v>
      </c>
      <c r="D51" s="490"/>
      <c r="E51" s="490"/>
      <c r="F51" s="490"/>
      <c r="G51" s="490"/>
      <c r="H51" s="490"/>
      <c r="I51" s="490"/>
      <c r="J51" s="490"/>
      <c r="K51" s="490"/>
      <c r="L51" s="490"/>
      <c r="M51" s="490"/>
      <c r="N51" s="490"/>
      <c r="O51" s="490"/>
      <c r="P51" s="490"/>
      <c r="Q51" s="490"/>
      <c r="R51" s="490"/>
      <c r="S51" s="490"/>
      <c r="T51" s="490"/>
      <c r="U51" s="490"/>
      <c r="V51" s="490"/>
      <c r="W51" s="490"/>
      <c r="X51" s="490"/>
      <c r="Y51" s="490"/>
      <c r="Z51" s="490"/>
      <c r="AA51" s="490"/>
      <c r="AB51" s="490"/>
      <c r="AC51" s="490"/>
      <c r="AD51" s="490"/>
      <c r="AE51" s="490"/>
      <c r="AF51" s="490"/>
      <c r="AG51" s="490"/>
      <c r="AH51" s="490"/>
      <c r="AI51" s="528"/>
    </row>
    <row r="52" spans="1:35" ht="18.75" x14ac:dyDescent="0.25">
      <c r="A52" s="401"/>
      <c r="B52" s="400"/>
      <c r="C52" s="100" t="s">
        <v>68</v>
      </c>
      <c r="D52" s="493"/>
      <c r="E52" s="493"/>
      <c r="F52" s="493"/>
      <c r="G52" s="493"/>
      <c r="H52" s="493"/>
      <c r="I52" s="493"/>
      <c r="J52" s="493"/>
      <c r="K52" s="493"/>
      <c r="L52" s="493"/>
      <c r="M52" s="493"/>
      <c r="N52" s="493"/>
      <c r="O52" s="493"/>
      <c r="P52" s="493"/>
      <c r="Q52" s="493"/>
      <c r="R52" s="493"/>
      <c r="S52" s="493"/>
      <c r="T52" s="493"/>
      <c r="U52" s="493"/>
      <c r="V52" s="493"/>
      <c r="W52" s="493"/>
      <c r="X52" s="493"/>
      <c r="Y52" s="493"/>
      <c r="Z52" s="493"/>
      <c r="AA52" s="493"/>
      <c r="AB52" s="493"/>
      <c r="AC52" s="493"/>
      <c r="AD52" s="493"/>
      <c r="AE52" s="493"/>
      <c r="AF52" s="493"/>
      <c r="AG52" s="493"/>
      <c r="AH52" s="493"/>
      <c r="AI52" s="523"/>
    </row>
    <row r="53" spans="1:35" ht="21.75" thickBot="1" x14ac:dyDescent="0.3">
      <c r="A53" s="389"/>
      <c r="B53" s="404"/>
      <c r="C53" s="101" t="s">
        <v>69</v>
      </c>
      <c r="D53" s="486"/>
      <c r="E53" s="486"/>
      <c r="F53" s="486"/>
      <c r="G53" s="486"/>
      <c r="H53" s="486"/>
      <c r="I53" s="486"/>
      <c r="J53" s="486"/>
      <c r="K53" s="486"/>
      <c r="L53" s="486"/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522"/>
    </row>
    <row r="54" spans="1:35" ht="18.75" x14ac:dyDescent="0.25">
      <c r="A54" s="399"/>
      <c r="B54" s="407"/>
      <c r="C54" s="104" t="s">
        <v>68</v>
      </c>
      <c r="D54" s="493"/>
      <c r="E54" s="493"/>
      <c r="F54" s="493"/>
      <c r="G54" s="493"/>
      <c r="H54" s="493"/>
      <c r="I54" s="493"/>
      <c r="J54" s="493"/>
      <c r="K54" s="493"/>
      <c r="L54" s="493"/>
      <c r="M54" s="493"/>
      <c r="N54" s="493"/>
      <c r="O54" s="493"/>
      <c r="P54" s="493"/>
      <c r="Q54" s="493"/>
      <c r="R54" s="493"/>
      <c r="S54" s="493"/>
      <c r="T54" s="493"/>
      <c r="U54" s="493"/>
      <c r="V54" s="493"/>
      <c r="W54" s="493"/>
      <c r="X54" s="493"/>
      <c r="Y54" s="493"/>
      <c r="Z54" s="493"/>
      <c r="AA54" s="493"/>
      <c r="AB54" s="493"/>
      <c r="AC54" s="493"/>
      <c r="AD54" s="493"/>
      <c r="AE54" s="493"/>
      <c r="AF54" s="493"/>
      <c r="AG54" s="493"/>
      <c r="AH54" s="493"/>
      <c r="AI54" s="523"/>
    </row>
    <row r="55" spans="1:35" ht="19.5" thickBot="1" x14ac:dyDescent="0.3">
      <c r="A55" s="389"/>
      <c r="B55" s="408"/>
      <c r="C55" s="105" t="s">
        <v>69</v>
      </c>
      <c r="D55" s="484"/>
      <c r="E55" s="515"/>
      <c r="F55" s="515"/>
      <c r="G55" s="516"/>
      <c r="H55" s="515"/>
      <c r="I55" s="515"/>
      <c r="J55" s="515"/>
      <c r="K55" s="515"/>
      <c r="L55" s="515"/>
      <c r="M55" s="515"/>
      <c r="N55" s="515"/>
      <c r="O55" s="516"/>
      <c r="P55" s="484"/>
      <c r="Q55" s="516"/>
      <c r="R55" s="516"/>
      <c r="S55" s="516"/>
      <c r="T55" s="516"/>
      <c r="U55" s="505"/>
      <c r="V55" s="516"/>
      <c r="W55" s="516"/>
      <c r="X55" s="505"/>
      <c r="Y55" s="505"/>
      <c r="Z55" s="505"/>
      <c r="AA55" s="516"/>
      <c r="AB55" s="516"/>
      <c r="AC55" s="505"/>
      <c r="AD55" s="516"/>
      <c r="AE55" s="516"/>
      <c r="AF55" s="516"/>
      <c r="AG55" s="516"/>
      <c r="AH55" s="516"/>
      <c r="AI55" s="522"/>
    </row>
    <row r="56" spans="1:35" ht="18.75" x14ac:dyDescent="0.25">
      <c r="A56" s="401"/>
      <c r="B56" s="407"/>
      <c r="C56" s="107" t="s">
        <v>68</v>
      </c>
      <c r="D56" s="493"/>
      <c r="E56" s="493"/>
      <c r="F56" s="493"/>
      <c r="G56" s="493"/>
      <c r="H56" s="493"/>
      <c r="I56" s="493"/>
      <c r="J56" s="493"/>
      <c r="K56" s="493"/>
      <c r="L56" s="493"/>
      <c r="M56" s="493"/>
      <c r="N56" s="493"/>
      <c r="O56" s="493"/>
      <c r="P56" s="493"/>
      <c r="Q56" s="493"/>
      <c r="R56" s="493"/>
      <c r="S56" s="493"/>
      <c r="T56" s="493"/>
      <c r="U56" s="493"/>
      <c r="V56" s="493"/>
      <c r="W56" s="493"/>
      <c r="X56" s="493"/>
      <c r="Y56" s="493"/>
      <c r="Z56" s="493"/>
      <c r="AA56" s="493"/>
      <c r="AB56" s="493"/>
      <c r="AC56" s="493"/>
      <c r="AD56" s="493"/>
      <c r="AE56" s="493"/>
      <c r="AF56" s="493"/>
      <c r="AG56" s="493"/>
      <c r="AH56" s="493"/>
      <c r="AI56" s="523"/>
    </row>
    <row r="57" spans="1:35" ht="21.75" thickBot="1" x14ac:dyDescent="0.3">
      <c r="A57" s="389"/>
      <c r="B57" s="408"/>
      <c r="C57" s="108" t="s">
        <v>69</v>
      </c>
      <c r="D57" s="515"/>
      <c r="E57" s="516"/>
      <c r="F57" s="505"/>
      <c r="G57" s="515"/>
      <c r="H57" s="516"/>
      <c r="I57" s="500"/>
      <c r="J57" s="505"/>
      <c r="K57" s="505"/>
      <c r="L57" s="516"/>
      <c r="M57" s="516"/>
      <c r="N57" s="505"/>
      <c r="O57" s="516"/>
      <c r="P57" s="516"/>
      <c r="Q57" s="500"/>
      <c r="R57" s="505"/>
      <c r="S57" s="505"/>
      <c r="T57" s="500"/>
      <c r="U57" s="516"/>
      <c r="V57" s="505"/>
      <c r="W57" s="505"/>
      <c r="X57" s="516"/>
      <c r="Y57" s="516"/>
      <c r="Z57" s="516"/>
      <c r="AA57" s="505"/>
      <c r="AB57" s="517"/>
      <c r="AC57" s="516"/>
      <c r="AD57" s="490"/>
      <c r="AE57" s="505"/>
      <c r="AF57" s="505"/>
      <c r="AG57" s="505"/>
      <c r="AH57" s="505"/>
      <c r="AI57" s="522"/>
    </row>
  </sheetData>
  <mergeCells count="94">
    <mergeCell ref="A20:A21"/>
    <mergeCell ref="A22:A23"/>
    <mergeCell ref="A24:A25"/>
    <mergeCell ref="A26:A27"/>
    <mergeCell ref="AI20:AI21"/>
    <mergeCell ref="B20:B21"/>
    <mergeCell ref="B22:B23"/>
    <mergeCell ref="B24:B25"/>
    <mergeCell ref="B26:B27"/>
    <mergeCell ref="AI22:AI23"/>
    <mergeCell ref="B28:B29"/>
    <mergeCell ref="AI24:AI25"/>
    <mergeCell ref="AI26:AI27"/>
    <mergeCell ref="A40:A41"/>
    <mergeCell ref="A28:A29"/>
    <mergeCell ref="A30:A31"/>
    <mergeCell ref="B30:B31"/>
    <mergeCell ref="AI28:AI29"/>
    <mergeCell ref="AI30:AI31"/>
    <mergeCell ref="AI32:AI33"/>
    <mergeCell ref="AI34:AI35"/>
    <mergeCell ref="B40:B41"/>
    <mergeCell ref="AI56:AI57"/>
    <mergeCell ref="AI46:AI47"/>
    <mergeCell ref="AI50:AI51"/>
    <mergeCell ref="B54:B55"/>
    <mergeCell ref="A32:A33"/>
    <mergeCell ref="A38:A39"/>
    <mergeCell ref="B32:B33"/>
    <mergeCell ref="B42:B43"/>
    <mergeCell ref="A42:A43"/>
    <mergeCell ref="A34:A35"/>
    <mergeCell ref="B34:B35"/>
    <mergeCell ref="B38:B39"/>
    <mergeCell ref="A54:A55"/>
    <mergeCell ref="A36:A37"/>
    <mergeCell ref="B36:B37"/>
    <mergeCell ref="B56:B57"/>
    <mergeCell ref="B44:B45"/>
    <mergeCell ref="B46:B47"/>
    <mergeCell ref="B50:B51"/>
    <mergeCell ref="B52:B53"/>
    <mergeCell ref="B48:B49"/>
    <mergeCell ref="A56:A57"/>
    <mergeCell ref="A44:A45"/>
    <mergeCell ref="A46:A47"/>
    <mergeCell ref="A50:A51"/>
    <mergeCell ref="A52:A53"/>
    <mergeCell ref="A48:A49"/>
    <mergeCell ref="AI44:AI45"/>
    <mergeCell ref="AI38:AI39"/>
    <mergeCell ref="AI36:AI37"/>
    <mergeCell ref="AI52:AI53"/>
    <mergeCell ref="AI54:AI55"/>
    <mergeCell ref="AI48:AI49"/>
    <mergeCell ref="AI42:AI43"/>
    <mergeCell ref="AI40:AI41"/>
    <mergeCell ref="A1:B4"/>
    <mergeCell ref="C1:X1"/>
    <mergeCell ref="D2:F2"/>
    <mergeCell ref="G2:H4"/>
    <mergeCell ref="M2:N4"/>
    <mergeCell ref="D3:F3"/>
    <mergeCell ref="P3:R3"/>
    <mergeCell ref="P4:R4"/>
    <mergeCell ref="D4:F4"/>
    <mergeCell ref="J4:L4"/>
    <mergeCell ref="P2:R2"/>
    <mergeCell ref="V2:X2"/>
    <mergeCell ref="J2:L2"/>
    <mergeCell ref="J3:L3"/>
    <mergeCell ref="S2:T4"/>
    <mergeCell ref="U3:X4"/>
    <mergeCell ref="A8:A9"/>
    <mergeCell ref="B8:B9"/>
    <mergeCell ref="C8:C9"/>
    <mergeCell ref="H5:I7"/>
    <mergeCell ref="A5:C7"/>
    <mergeCell ref="AI8:AI9"/>
    <mergeCell ref="AI12:AI13"/>
    <mergeCell ref="AI14:AI15"/>
    <mergeCell ref="A18:A19"/>
    <mergeCell ref="B14:B15"/>
    <mergeCell ref="A16:A17"/>
    <mergeCell ref="B16:B17"/>
    <mergeCell ref="AI16:AI17"/>
    <mergeCell ref="AI18:AI19"/>
    <mergeCell ref="A14:A15"/>
    <mergeCell ref="B18:B19"/>
    <mergeCell ref="A10:A11"/>
    <mergeCell ref="B10:B11"/>
    <mergeCell ref="AI10:AI11"/>
    <mergeCell ref="A12:A13"/>
    <mergeCell ref="B12:B13"/>
  </mergeCells>
  <phoneticPr fontId="51" type="noConversion"/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11"/>
  <sheetViews>
    <sheetView zoomScale="64" zoomScaleNormal="64" workbookViewId="0">
      <selection activeCell="O4" sqref="O4:O27"/>
    </sheetView>
  </sheetViews>
  <sheetFormatPr baseColWidth="10" defaultColWidth="14.42578125" defaultRowHeight="15" customHeight="1" x14ac:dyDescent="0.25"/>
  <cols>
    <col min="1" max="1" width="4.28515625" customWidth="1"/>
    <col min="2" max="2" width="45.85546875" bestFit="1" customWidth="1"/>
    <col min="3" max="3" width="65.28515625" bestFit="1" customWidth="1"/>
    <col min="4" max="4" width="19.140625" bestFit="1" customWidth="1"/>
    <col min="5" max="5" width="26.28515625" bestFit="1" customWidth="1"/>
    <col min="6" max="6" width="25.85546875" bestFit="1" customWidth="1"/>
    <col min="7" max="7" width="17.28515625" bestFit="1" customWidth="1"/>
    <col min="8" max="8" width="31" bestFit="1" customWidth="1"/>
    <col min="9" max="9" width="30.7109375" bestFit="1" customWidth="1"/>
    <col min="10" max="10" width="18.85546875" bestFit="1" customWidth="1"/>
    <col min="11" max="11" width="21.28515625" bestFit="1" customWidth="1"/>
    <col min="12" max="12" width="19.140625" bestFit="1" customWidth="1"/>
    <col min="13" max="13" width="16.5703125" customWidth="1"/>
    <col min="14" max="14" width="24" customWidth="1"/>
    <col min="15" max="15" width="19.85546875" bestFit="1" customWidth="1"/>
    <col min="16" max="16" width="49.85546875" customWidth="1"/>
    <col min="17" max="17" width="79.85546875" bestFit="1" customWidth="1"/>
  </cols>
  <sheetData>
    <row r="1" spans="1:17" ht="26.25" customHeight="1" thickBot="1" x14ac:dyDescent="0.3">
      <c r="A1" s="432"/>
      <c r="B1" s="335"/>
      <c r="C1" s="335"/>
      <c r="D1" s="335"/>
      <c r="E1" s="335"/>
      <c r="F1" s="335"/>
      <c r="G1" s="119" t="s">
        <v>70</v>
      </c>
      <c r="H1" s="120" t="s">
        <v>71</v>
      </c>
      <c r="I1" s="121" t="s">
        <v>72</v>
      </c>
      <c r="J1" s="432"/>
      <c r="K1" s="432"/>
      <c r="L1" s="335"/>
      <c r="M1" s="335"/>
      <c r="N1" s="335"/>
      <c r="O1" s="90"/>
      <c r="P1" s="91"/>
      <c r="Q1" s="79"/>
    </row>
    <row r="2" spans="1:17" ht="29.25" customHeight="1" x14ac:dyDescent="0.25">
      <c r="A2" s="449" t="s">
        <v>66</v>
      </c>
      <c r="B2" s="451" t="s">
        <v>73</v>
      </c>
      <c r="C2" s="437" t="s">
        <v>74</v>
      </c>
      <c r="D2" s="437" t="s">
        <v>76</v>
      </c>
      <c r="E2" s="453" t="s">
        <v>96</v>
      </c>
      <c r="F2" s="437" t="s">
        <v>97</v>
      </c>
      <c r="G2" s="456" t="s">
        <v>98</v>
      </c>
      <c r="H2" s="439" t="s">
        <v>99</v>
      </c>
      <c r="I2" s="440" t="s">
        <v>100</v>
      </c>
      <c r="J2" s="441" t="s">
        <v>101</v>
      </c>
      <c r="K2" s="437" t="s">
        <v>102</v>
      </c>
      <c r="L2" s="437" t="s">
        <v>103</v>
      </c>
      <c r="M2" s="437" t="s">
        <v>104</v>
      </c>
      <c r="N2" s="454" t="s">
        <v>105</v>
      </c>
      <c r="O2" s="92"/>
      <c r="P2" s="445" t="s">
        <v>75</v>
      </c>
      <c r="Q2" s="447" t="s">
        <v>77</v>
      </c>
    </row>
    <row r="3" spans="1:17" ht="21.75" customHeight="1" x14ac:dyDescent="0.25">
      <c r="A3" s="450"/>
      <c r="B3" s="452"/>
      <c r="C3" s="438"/>
      <c r="D3" s="404"/>
      <c r="E3" s="438"/>
      <c r="F3" s="438"/>
      <c r="G3" s="438"/>
      <c r="H3" s="438"/>
      <c r="I3" s="438"/>
      <c r="J3" s="438"/>
      <c r="K3" s="438"/>
      <c r="L3" s="438"/>
      <c r="M3" s="438"/>
      <c r="N3" s="455"/>
      <c r="P3" s="446"/>
      <c r="Q3" s="448"/>
    </row>
    <row r="4" spans="1:17" ht="21" x14ac:dyDescent="0.35">
      <c r="A4" s="245"/>
      <c r="B4" s="247"/>
      <c r="C4" s="111"/>
      <c r="D4" s="112"/>
      <c r="E4" s="113"/>
      <c r="F4" s="113"/>
      <c r="G4" s="113"/>
      <c r="H4" s="113"/>
      <c r="I4" s="113"/>
      <c r="J4" s="113"/>
      <c r="K4" s="113"/>
      <c r="L4" s="113"/>
      <c r="M4" s="113"/>
      <c r="N4" s="161"/>
      <c r="O4" s="97"/>
      <c r="P4" s="141">
        <f>SUM(Table_4[[#This Row],[Column4]:[Colonne1]])</f>
        <v>0</v>
      </c>
      <c r="Q4" s="208"/>
    </row>
    <row r="5" spans="1:17" ht="21" x14ac:dyDescent="0.35">
      <c r="A5" s="245"/>
      <c r="B5" s="248"/>
      <c r="C5" s="114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61"/>
      <c r="O5" s="97"/>
      <c r="P5" s="141">
        <f>SUM(Table_4[[#This Row],[Column4]:[Colonne1]])</f>
        <v>0</v>
      </c>
      <c r="Q5" s="93"/>
    </row>
    <row r="6" spans="1:17" ht="21" x14ac:dyDescent="0.35">
      <c r="A6" s="245"/>
      <c r="B6" s="248"/>
      <c r="C6" s="114"/>
      <c r="D6" s="113"/>
      <c r="E6" s="113"/>
      <c r="F6" s="113"/>
      <c r="G6" s="113"/>
      <c r="H6" s="113"/>
      <c r="I6" s="113"/>
      <c r="J6" s="115"/>
      <c r="K6" s="115"/>
      <c r="L6" s="115"/>
      <c r="M6" s="115"/>
      <c r="N6" s="161"/>
      <c r="O6" s="97"/>
      <c r="P6" s="141">
        <f>SUM(Table_4[[#This Row],[Column4]:[Colonne1]])</f>
        <v>0</v>
      </c>
      <c r="Q6" s="93"/>
    </row>
    <row r="7" spans="1:17" ht="21" x14ac:dyDescent="0.35">
      <c r="A7" s="245"/>
      <c r="B7" s="248"/>
      <c r="C7" s="116"/>
      <c r="D7" s="113"/>
      <c r="E7" s="113"/>
      <c r="F7" s="115"/>
      <c r="G7" s="113"/>
      <c r="H7" s="115"/>
      <c r="I7" s="113"/>
      <c r="J7" s="115"/>
      <c r="K7" s="115"/>
      <c r="L7" s="115"/>
      <c r="M7" s="115"/>
      <c r="N7" s="162"/>
      <c r="O7" s="97"/>
      <c r="P7" s="141">
        <f>SUM(Table_4[[#This Row],[Column4]:[Colonne1]])</f>
        <v>0</v>
      </c>
      <c r="Q7" s="208"/>
    </row>
    <row r="8" spans="1:17" ht="21" x14ac:dyDescent="0.35">
      <c r="A8" s="245"/>
      <c r="B8" s="248"/>
      <c r="C8" s="114"/>
      <c r="D8" s="113"/>
      <c r="E8" s="113"/>
      <c r="F8" s="115"/>
      <c r="G8" s="113"/>
      <c r="H8" s="115"/>
      <c r="I8" s="113"/>
      <c r="J8" s="115"/>
      <c r="K8" s="115"/>
      <c r="L8" s="115"/>
      <c r="M8" s="115"/>
      <c r="N8" s="161"/>
      <c r="O8" s="97"/>
      <c r="P8" s="141">
        <f>SUM(Table_4[[#This Row],[Column4]:[Colonne1]])</f>
        <v>0</v>
      </c>
      <c r="Q8" s="94"/>
    </row>
    <row r="9" spans="1:17" ht="21" x14ac:dyDescent="0.35">
      <c r="A9" s="245"/>
      <c r="B9" s="248"/>
      <c r="C9" s="116"/>
      <c r="D9" s="113"/>
      <c r="E9" s="113"/>
      <c r="F9" s="113"/>
      <c r="G9" s="122"/>
      <c r="H9" s="122"/>
      <c r="I9" s="122"/>
      <c r="J9" s="115"/>
      <c r="K9" s="115"/>
      <c r="L9" s="115"/>
      <c r="M9" s="115"/>
      <c r="N9" s="161"/>
      <c r="O9" s="97"/>
      <c r="P9" s="141">
        <f>SUM(Table_4[[#This Row],[Column4]:[Colonne1]])</f>
        <v>0</v>
      </c>
      <c r="Q9" s="209"/>
    </row>
    <row r="10" spans="1:17" ht="21" x14ac:dyDescent="0.35">
      <c r="A10" s="245"/>
      <c r="B10" s="248"/>
      <c r="C10" s="114"/>
      <c r="D10" s="113"/>
      <c r="E10" s="113"/>
      <c r="F10" s="115"/>
      <c r="G10" s="113"/>
      <c r="H10" s="115"/>
      <c r="I10" s="113"/>
      <c r="J10" s="115"/>
      <c r="K10" s="115"/>
      <c r="L10" s="115"/>
      <c r="M10" s="115"/>
      <c r="N10" s="161"/>
      <c r="O10" s="97"/>
      <c r="P10" s="141">
        <f>SUM(Table_4[[#This Row],[Column4]:[Colonne1]])</f>
        <v>0</v>
      </c>
      <c r="Q10" s="94"/>
    </row>
    <row r="11" spans="1:17" ht="21" x14ac:dyDescent="0.35">
      <c r="A11" s="245"/>
      <c r="B11" s="248"/>
      <c r="C11" s="116"/>
      <c r="D11" s="113"/>
      <c r="E11" s="113"/>
      <c r="F11" s="115"/>
      <c r="G11" s="115"/>
      <c r="H11" s="115"/>
      <c r="I11" s="115"/>
      <c r="J11" s="115"/>
      <c r="K11" s="115"/>
      <c r="L11" s="115"/>
      <c r="M11" s="115"/>
      <c r="N11" s="162"/>
      <c r="O11" s="97"/>
      <c r="P11" s="141">
        <f>SUM(Table_4[[#This Row],[Column4]:[Colonne1]])</f>
        <v>0</v>
      </c>
      <c r="Q11" s="209"/>
    </row>
    <row r="12" spans="1:17" ht="21" x14ac:dyDescent="0.35">
      <c r="A12" s="245"/>
      <c r="B12" s="248"/>
      <c r="C12" s="114"/>
      <c r="D12" s="113"/>
      <c r="E12" s="113"/>
      <c r="F12" s="115"/>
      <c r="G12" s="113"/>
      <c r="H12" s="115"/>
      <c r="I12" s="113"/>
      <c r="J12" s="115"/>
      <c r="K12" s="115"/>
      <c r="L12" s="115"/>
      <c r="M12" s="115"/>
      <c r="N12" s="161"/>
      <c r="O12" s="97"/>
      <c r="P12" s="141">
        <f>SUM(Table_4[[#This Row],[Column4]:[Colonne1]])</f>
        <v>0</v>
      </c>
      <c r="Q12" s="94"/>
    </row>
    <row r="13" spans="1:17" ht="21" x14ac:dyDescent="0.35">
      <c r="A13" s="245"/>
      <c r="B13" s="248"/>
      <c r="C13" s="116"/>
      <c r="D13" s="113"/>
      <c r="E13" s="113"/>
      <c r="F13" s="115"/>
      <c r="G13" s="115"/>
      <c r="H13" s="115"/>
      <c r="I13" s="115"/>
      <c r="J13" s="115"/>
      <c r="K13" s="115"/>
      <c r="L13" s="115"/>
      <c r="M13" s="115"/>
      <c r="N13" s="162"/>
      <c r="O13" s="97"/>
      <c r="P13" s="141">
        <f>SUM(Table_4[[#This Row],[Column4]:[Colonne1]])</f>
        <v>0</v>
      </c>
      <c r="Q13" s="208"/>
    </row>
    <row r="14" spans="1:17" ht="21" x14ac:dyDescent="0.35">
      <c r="A14" s="245"/>
      <c r="B14" s="248"/>
      <c r="C14" s="114"/>
      <c r="D14" s="113"/>
      <c r="E14" s="113"/>
      <c r="F14" s="115"/>
      <c r="G14" s="113"/>
      <c r="H14" s="115"/>
      <c r="I14" s="113"/>
      <c r="J14" s="115"/>
      <c r="K14" s="115"/>
      <c r="L14" s="115"/>
      <c r="M14" s="115"/>
      <c r="N14" s="161"/>
      <c r="O14" s="97"/>
      <c r="P14" s="141">
        <f>SUM(Table_4[[#This Row],[Column4]:[Colonne1]])</f>
        <v>0</v>
      </c>
      <c r="Q14" s="94"/>
    </row>
    <row r="15" spans="1:17" ht="21" x14ac:dyDescent="0.35">
      <c r="A15" s="245"/>
      <c r="B15" s="249"/>
      <c r="C15" s="116"/>
      <c r="D15" s="157"/>
      <c r="E15" s="113"/>
      <c r="F15" s="158"/>
      <c r="G15" s="158"/>
      <c r="H15" s="158"/>
      <c r="I15" s="158"/>
      <c r="J15" s="158"/>
      <c r="K15" s="115"/>
      <c r="L15" s="115"/>
      <c r="M15" s="158"/>
      <c r="N15" s="162"/>
      <c r="O15" s="97"/>
      <c r="P15" s="141">
        <f>SUM(Table_4[[#This Row],[Column4]:[Colonne1]])</f>
        <v>0</v>
      </c>
      <c r="Q15" s="209"/>
    </row>
    <row r="16" spans="1:17" ht="21" x14ac:dyDescent="0.35">
      <c r="A16" s="245"/>
      <c r="B16" s="249"/>
      <c r="C16" s="116"/>
      <c r="D16" s="157"/>
      <c r="E16" s="113"/>
      <c r="F16" s="158"/>
      <c r="G16" s="158"/>
      <c r="H16" s="158"/>
      <c r="I16" s="158"/>
      <c r="J16" s="158"/>
      <c r="K16" s="115"/>
      <c r="L16" s="115"/>
      <c r="M16" s="158"/>
      <c r="N16" s="162"/>
      <c r="O16" s="97"/>
      <c r="P16" s="141">
        <f>SUM(Table_4[[#This Row],[Column4]:[Colonne1]])</f>
        <v>0</v>
      </c>
      <c r="Q16" s="217"/>
    </row>
    <row r="17" spans="1:17" ht="21" x14ac:dyDescent="0.35">
      <c r="A17" s="245"/>
      <c r="B17" s="249"/>
      <c r="C17" s="114"/>
      <c r="D17" s="157"/>
      <c r="E17" s="113"/>
      <c r="F17" s="158"/>
      <c r="G17" s="158"/>
      <c r="H17" s="158"/>
      <c r="I17" s="158"/>
      <c r="J17" s="158"/>
      <c r="K17" s="115"/>
      <c r="L17" s="115"/>
      <c r="M17" s="158"/>
      <c r="N17" s="162"/>
      <c r="O17" s="160"/>
      <c r="P17" s="141">
        <f>SUM(Table_4[[#This Row],[Column4]:[Colonne1]])</f>
        <v>0</v>
      </c>
      <c r="Q17" s="94"/>
    </row>
    <row r="18" spans="1:17" ht="21" x14ac:dyDescent="0.35">
      <c r="A18" s="245"/>
      <c r="B18" s="249"/>
      <c r="C18" s="114"/>
      <c r="D18" s="157"/>
      <c r="E18" s="113"/>
      <c r="F18" s="158"/>
      <c r="G18" s="158"/>
      <c r="H18" s="158"/>
      <c r="I18" s="158"/>
      <c r="J18" s="158"/>
      <c r="K18" s="115"/>
      <c r="L18" s="115"/>
      <c r="M18" s="158"/>
      <c r="N18" s="159"/>
      <c r="O18" s="160"/>
      <c r="P18" s="141">
        <f>SUM(Table_4[[#This Row],[Column4]:[Colonne1]])</f>
        <v>0</v>
      </c>
      <c r="Q18" s="94"/>
    </row>
    <row r="19" spans="1:17" ht="21" x14ac:dyDescent="0.25">
      <c r="A19" s="245"/>
      <c r="B19" s="248"/>
      <c r="C19" s="116"/>
      <c r="D19" s="113"/>
      <c r="E19" s="113"/>
      <c r="F19" s="115"/>
      <c r="G19" s="113"/>
      <c r="H19" s="115"/>
      <c r="I19" s="113"/>
      <c r="J19" s="115"/>
      <c r="K19" s="115"/>
      <c r="L19" s="115"/>
      <c r="M19" s="115"/>
      <c r="N19" s="162"/>
      <c r="O19" s="196"/>
      <c r="P19" s="141">
        <f>SUM(Table_4[[#This Row],[Column4]:[Colonne1]])</f>
        <v>0</v>
      </c>
      <c r="Q19" s="209"/>
    </row>
    <row r="20" spans="1:17" ht="21" x14ac:dyDescent="0.35">
      <c r="A20" s="245"/>
      <c r="B20" s="249"/>
      <c r="C20" s="114"/>
      <c r="D20" s="157"/>
      <c r="E20" s="113"/>
      <c r="F20" s="158"/>
      <c r="G20" s="158"/>
      <c r="H20" s="158"/>
      <c r="I20" s="158"/>
      <c r="J20" s="158"/>
      <c r="K20" s="115"/>
      <c r="L20" s="115"/>
      <c r="M20" s="158"/>
      <c r="N20" s="159"/>
      <c r="O20" s="160"/>
      <c r="P20" s="141">
        <f>SUM(Table_4[[#This Row],[Column4]:[Colonne1]])</f>
        <v>0</v>
      </c>
      <c r="Q20" s="94"/>
    </row>
    <row r="21" spans="1:17" ht="21" x14ac:dyDescent="0.35">
      <c r="A21" s="245"/>
      <c r="B21" s="249"/>
      <c r="C21" s="116"/>
      <c r="D21" s="113"/>
      <c r="E21" s="113"/>
      <c r="F21" s="115"/>
      <c r="G21" s="115"/>
      <c r="H21" s="115"/>
      <c r="I21" s="115"/>
      <c r="J21" s="115"/>
      <c r="K21" s="115"/>
      <c r="L21" s="115"/>
      <c r="M21" s="115"/>
      <c r="N21" s="117"/>
      <c r="O21" s="97"/>
      <c r="P21" s="141">
        <f>SUM(Table_4[[#This Row],[Column4]:[Colonne1]])</f>
        <v>0</v>
      </c>
      <c r="Q21" s="209"/>
    </row>
    <row r="22" spans="1:17" ht="21" x14ac:dyDescent="0.35">
      <c r="A22" s="245"/>
      <c r="B22" s="250"/>
      <c r="C22" s="116"/>
      <c r="D22" s="113"/>
      <c r="E22" s="113"/>
      <c r="F22" s="113"/>
      <c r="G22" s="113"/>
      <c r="H22" s="113"/>
      <c r="I22" s="113"/>
      <c r="J22" s="115"/>
      <c r="K22" s="115"/>
      <c r="L22" s="115"/>
      <c r="M22" s="115"/>
      <c r="N22" s="117"/>
      <c r="O22" s="97"/>
      <c r="P22" s="141">
        <f>SUM(Table_4[[#This Row],[Column4]:[Colonne1]])</f>
        <v>0</v>
      </c>
      <c r="Q22" s="209"/>
    </row>
    <row r="23" spans="1:17" ht="21" x14ac:dyDescent="0.35">
      <c r="A23" s="245"/>
      <c r="B23" s="250"/>
      <c r="C23" s="116"/>
      <c r="D23" s="123"/>
      <c r="E23" s="113"/>
      <c r="F23" s="123"/>
      <c r="G23" s="123"/>
      <c r="H23" s="123"/>
      <c r="I23" s="123"/>
      <c r="J23" s="124"/>
      <c r="K23" s="124"/>
      <c r="L23" s="124"/>
      <c r="M23" s="124"/>
      <c r="N23" s="125"/>
      <c r="O23" s="126"/>
      <c r="P23" s="141">
        <f>SUM(Table_4[[#This Row],[Column4]:[Colonne1]])</f>
        <v>0</v>
      </c>
      <c r="Q23" s="209"/>
    </row>
    <row r="24" spans="1:17" ht="21" x14ac:dyDescent="0.35">
      <c r="A24" s="245"/>
      <c r="B24" s="247"/>
      <c r="C24" s="114"/>
      <c r="D24" s="113"/>
      <c r="E24" s="113"/>
      <c r="F24" s="113"/>
      <c r="G24" s="113"/>
      <c r="H24" s="113"/>
      <c r="I24" s="113"/>
      <c r="J24" s="115"/>
      <c r="K24" s="115"/>
      <c r="L24" s="115"/>
      <c r="M24" s="115"/>
      <c r="N24" s="117"/>
      <c r="O24" s="97"/>
      <c r="P24" s="141">
        <f>SUM(Table_4[[#This Row],[Column4]:[Colonne1]])</f>
        <v>0</v>
      </c>
      <c r="Q24" s="209"/>
    </row>
    <row r="25" spans="1:17" ht="21" x14ac:dyDescent="0.35">
      <c r="A25" s="245"/>
      <c r="B25" s="248"/>
      <c r="C25" s="116"/>
      <c r="D25" s="113"/>
      <c r="E25" s="113"/>
      <c r="F25" s="113"/>
      <c r="G25" s="113"/>
      <c r="H25" s="113"/>
      <c r="I25" s="113"/>
      <c r="J25" s="115"/>
      <c r="K25" s="115"/>
      <c r="L25" s="115"/>
      <c r="M25" s="115"/>
      <c r="N25" s="117"/>
      <c r="O25" s="97"/>
      <c r="P25" s="141">
        <f>SUM(Table_4[[#This Row],[Column4]:[Colonne1]])</f>
        <v>0</v>
      </c>
      <c r="Q25" s="210"/>
    </row>
    <row r="26" spans="1:17" ht="21" x14ac:dyDescent="0.35">
      <c r="A26" s="245"/>
      <c r="B26" s="247"/>
      <c r="C26" s="114"/>
      <c r="D26" s="113"/>
      <c r="E26" s="113"/>
      <c r="F26" s="113"/>
      <c r="G26" s="113"/>
      <c r="H26" s="113"/>
      <c r="I26" s="113"/>
      <c r="J26" s="115"/>
      <c r="K26" s="115"/>
      <c r="L26" s="115"/>
      <c r="M26" s="115"/>
      <c r="N26" s="117"/>
      <c r="O26" s="97"/>
      <c r="P26" s="141">
        <f>SUM(Table_4[[#This Row],[Column4]:[Colonne1]])</f>
        <v>0</v>
      </c>
      <c r="Q26" s="209"/>
    </row>
    <row r="27" spans="1:17" ht="21.75" thickBot="1" x14ac:dyDescent="0.4">
      <c r="A27" s="246"/>
      <c r="B27" s="251"/>
      <c r="C27" s="163"/>
      <c r="D27" s="164"/>
      <c r="E27" s="164"/>
      <c r="F27" s="164"/>
      <c r="G27" s="164"/>
      <c r="H27" s="164"/>
      <c r="I27" s="164"/>
      <c r="J27" s="165"/>
      <c r="K27" s="165"/>
      <c r="L27" s="165"/>
      <c r="M27" s="165"/>
      <c r="N27" s="118"/>
      <c r="O27" s="97"/>
      <c r="P27" s="141">
        <f>SUM(Table_4[[#This Row],[Column4]:[Colonne1]])</f>
        <v>0</v>
      </c>
      <c r="Q27" s="94"/>
    </row>
    <row r="28" spans="1:17" ht="15.75" customHeight="1" x14ac:dyDescent="0.25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442" t="s">
        <v>9</v>
      </c>
      <c r="Q28" s="444">
        <f>+SUM(P4:P27)</f>
        <v>0</v>
      </c>
    </row>
    <row r="29" spans="1:17" ht="15" customHeight="1" thickBot="1" x14ac:dyDescent="0.3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443"/>
      <c r="Q29" s="317"/>
    </row>
    <row r="30" spans="1:17" ht="15" customHeight="1" x14ac:dyDescent="0.25">
      <c r="P30" s="110"/>
    </row>
    <row r="111" spans="15:15" ht="15" customHeight="1" x14ac:dyDescent="0.25">
      <c r="O111" t="s">
        <v>95</v>
      </c>
    </row>
  </sheetData>
  <mergeCells count="20">
    <mergeCell ref="Q28:Q29"/>
    <mergeCell ref="P2:P3"/>
    <mergeCell ref="Q2:Q3"/>
    <mergeCell ref="A1:F1"/>
    <mergeCell ref="J1:N1"/>
    <mergeCell ref="A2:A3"/>
    <mergeCell ref="B2:B3"/>
    <mergeCell ref="C2:C3"/>
    <mergeCell ref="D2:D3"/>
    <mergeCell ref="E2:E3"/>
    <mergeCell ref="L2:L3"/>
    <mergeCell ref="M2:M3"/>
    <mergeCell ref="N2:N3"/>
    <mergeCell ref="F2:F3"/>
    <mergeCell ref="G2:G3"/>
    <mergeCell ref="K2:K3"/>
    <mergeCell ref="H2:H3"/>
    <mergeCell ref="I2:I3"/>
    <mergeCell ref="J2:J3"/>
    <mergeCell ref="P28:P29"/>
  </mergeCells>
  <pageMargins left="0.7" right="0.7" top="0.75" bottom="0.75" header="0" footer="0"/>
  <pageSetup paperSize="9" scale="17" fitToHeight="0" orientation="portrait" horizontalDpi="4294967293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CLOTURATION CAISSE</vt:lpstr>
      <vt:lpstr>CAISSE-COFFRE</vt:lpstr>
      <vt:lpstr>FOURNISSEURS</vt:lpstr>
      <vt:lpstr>SOUS-TRAITANTS &amp; CONVENTIONS</vt:lpstr>
      <vt:lpstr>PRESENCE</vt:lpstr>
      <vt:lpstr>RAPPORT DE SALAIRE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SERVEUR</dc:creator>
  <cp:lastModifiedBy>pc</cp:lastModifiedBy>
  <cp:lastPrinted>2026-01-14T11:11:08Z</cp:lastPrinted>
  <dcterms:created xsi:type="dcterms:W3CDTF">2020-08-23T10:03:14Z</dcterms:created>
  <dcterms:modified xsi:type="dcterms:W3CDTF">2026-06-07T09:01:52Z</dcterms:modified>
</cp:coreProperties>
</file>